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9A888C64-04AF-400C-9C4E-23A1352BC9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3DM/COqUdrzcNBuj73SKxZPIg0awkjRMi1+mnx11qA="/>
    </ext>
  </extLst>
</workbook>
</file>

<file path=xl/calcChain.xml><?xml version="1.0" encoding="utf-8"?>
<calcChain xmlns="http://schemas.openxmlformats.org/spreadsheetml/2006/main">
  <c r="F38" i="1" l="1"/>
  <c r="F26" i="1"/>
  <c r="F25" i="1"/>
  <c r="F23" i="1"/>
  <c r="F21" i="1"/>
  <c r="F20" i="1"/>
  <c r="F19" i="1"/>
  <c r="F18" i="1"/>
  <c r="F16" i="1"/>
  <c r="F17" i="1" l="1"/>
</calcChain>
</file>

<file path=xl/sharedStrings.xml><?xml version="1.0" encoding="utf-8"?>
<sst xmlns="http://schemas.openxmlformats.org/spreadsheetml/2006/main" count="98" uniqueCount="73">
  <si>
    <t xml:space="preserve"> </t>
  </si>
  <si>
    <t xml:space="preserve">Предмет тендера: </t>
  </si>
  <si>
    <t>№11289-СМР "г. Москва, ул. Волхонка, д.8, строения 7, 8, 9, 10, 11 - Монтаж, пуско-наладка и сдача наружных сетей связи"</t>
  </si>
  <si>
    <t xml:space="preserve">Объект: </t>
  </si>
  <si>
    <t>Волхонка ул., д.8, музейно-административные здания</t>
  </si>
  <si>
    <t>Адрес объекта</t>
  </si>
  <si>
    <t>г. Москва, ул. Волхонка, д.8, строения 7, 8, 9, 10, 11</t>
  </si>
  <si>
    <t>Пояснения к заполнению таблицы:</t>
  </si>
  <si>
    <t>Поля для заполнения участником</t>
  </si>
  <si>
    <t>Поля, редактирование которых запрещено</t>
  </si>
  <si>
    <t>Наименование контрагента</t>
  </si>
  <si>
    <t>ИНН</t>
  </si>
  <si>
    <t>№ раздела</t>
  </si>
  <si>
    <t>№ п/п</t>
  </si>
  <si>
    <t>Наименование работ</t>
  </si>
  <si>
    <t xml:space="preserve">Ед. изм </t>
  </si>
  <si>
    <t>Общее кол-во</t>
  </si>
  <si>
    <t>1.1</t>
  </si>
  <si>
    <t>2</t>
  </si>
  <si>
    <t>Земляные работы</t>
  </si>
  <si>
    <t>шт</t>
  </si>
  <si>
    <t>м</t>
  </si>
  <si>
    <t>Краска 3 в 1 по ржавчине, металлу серый матовый (~RAL 7004), 0,8 кг KRGL1023</t>
  </si>
  <si>
    <t>53</t>
  </si>
  <si>
    <t>68</t>
  </si>
  <si>
    <t>Лоток 200х100 L2000 35113</t>
  </si>
  <si>
    <t>69</t>
  </si>
  <si>
    <t xml:space="preserve">Крышка с заземлением на лоток осн.200 L2000 35514 </t>
  </si>
  <si>
    <t>70</t>
  </si>
  <si>
    <t xml:space="preserve">Перегородка SEP L2000 H80 36490 </t>
  </si>
  <si>
    <t>71</t>
  </si>
  <si>
    <t xml:space="preserve">Угол CPO 90 горизонтальный 90° 200х100 в комплекте с крепежными элементами и соединительными пластинами, необходимыми для монтажа 36043K </t>
  </si>
  <si>
    <t>упак</t>
  </si>
  <si>
    <t>72</t>
  </si>
  <si>
    <t>Крышка на угол CPO 90 горизонтальный 90° осн.200 в комплекте с метизами и пластинами PTCE 38004K</t>
  </si>
  <si>
    <t>73</t>
  </si>
  <si>
    <t>Угол CD 90 вертикальный внеш. 90° 200/100 в комплекте с крепежными элементами и соединительными пластинами, необходимыми для монтажа 36823K</t>
  </si>
  <si>
    <t>74</t>
  </si>
  <si>
    <t>Крышка на угол CD 90 вертикальный внеш. 90° осн.200 38244</t>
  </si>
  <si>
    <t>75</t>
  </si>
  <si>
    <t>Угол CS 90 вертикальный внутр. 90° 200/100 в комплекте с крепежными элементами и соединительными пластинами, необходимыми для монтаж 36703K</t>
  </si>
  <si>
    <t>76</t>
  </si>
  <si>
    <t>Горизонтальный изменяемый угол СРО 0-44град. 200х100 36019</t>
  </si>
  <si>
    <t>77</t>
  </si>
  <si>
    <t>Угол CPO 45 горизонтальный 45 200x100 в комплекте с крепежными элементами и соединительными пластинами, необходимыми дл 1 УП 36103K</t>
  </si>
  <si>
    <t>78</t>
  </si>
  <si>
    <t>Крышка для угла горизонтального изменяемого угла CPO 0 45 осн.200 1 ШТ 38012</t>
  </si>
  <si>
    <t>79</t>
  </si>
  <si>
    <t>Крышка на угол CS 90 вертикальный внутр. 90 осн.50 в комплекте с метизами и пластинами PTCE 1 УП 38200K</t>
  </si>
  <si>
    <t>80</t>
  </si>
  <si>
    <t>Крепление ТМ к стене для вертикального монтажа осн.200 BMM1020</t>
  </si>
  <si>
    <t>81</t>
  </si>
  <si>
    <t>Крепление ТМ к стене для вертикального монтажа осн.100 BMM1010</t>
  </si>
  <si>
    <t>82</t>
  </si>
  <si>
    <t>Консоль универсальная осн. 200 мм BBN5020</t>
  </si>
  <si>
    <t>83</t>
  </si>
  <si>
    <t>Усиленная консоль 400мм BBH6040</t>
  </si>
  <si>
    <t>86</t>
  </si>
  <si>
    <t>Винт для механического соединения элементов М6x20 50 шт. CM050620</t>
  </si>
  <si>
    <t>87</t>
  </si>
  <si>
    <t>Шайба кузовная оцинкованная М6 100 шт DIN 9021 Фасовка 29106-0</t>
  </si>
  <si>
    <t>88</t>
  </si>
  <si>
    <t xml:space="preserve">Gigant Гайка DIN934 шестигранная оцинк. М6 200 шт </t>
  </si>
  <si>
    <t>89</t>
  </si>
  <si>
    <t>Анкерный болт с гайкой m8x100(10шт.) мс 1239438</t>
  </si>
  <si>
    <t>91</t>
  </si>
  <si>
    <t>Изготовление металлических конструкций</t>
  </si>
  <si>
    <t>85</t>
  </si>
  <si>
    <t>Уголок стальной 50х50х5 мм длина 3000 мм равнополочный, горячекатаный, ГОСТ 8509-93, для каркасов, обвязок и металлоконструкций ARN198</t>
  </si>
  <si>
    <t xml:space="preserve">Установка лотка в коллекторе </t>
  </si>
  <si>
    <t>84</t>
  </si>
  <si>
    <t>Настенный кронштейн усиленный горячеоцинкованный DSL 600 (F) KEL-DSL-600-F</t>
  </si>
  <si>
    <t>Лист АЦЭИД 1500*1000*10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</si>
</sst>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"/>
  </numFmts>
  <fonts count="18">
    <font>
      <sz val="11"/>
      <color rgb="FF000000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b/>
      <sz val="14"/>
      <color rgb="FF000000"/>
      <name val="Times New Roman"/>
    </font>
    <font>
      <sz val="11"/>
      <name val="Calibri"/>
    </font>
    <font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mo"/>
    </font>
    <font>
      <sz val="12"/>
      <color theme="1"/>
      <name val="Arimo"/>
    </font>
    <font>
      <i/>
      <sz val="12"/>
      <color theme="1"/>
      <name val="Times New Roman"/>
    </font>
    <font>
      <sz val="11"/>
      <color rgb="FF000000"/>
      <name val="Calibri"/>
    </font>
    <font>
      <sz val="12"/>
      <color rgb="FFFF0000"/>
      <name val="Times New Roman"/>
    </font>
    <font>
      <i/>
      <sz val="12"/>
      <color rgb="FFFF0000"/>
      <name val="Times New Roman"/>
    </font>
    <font>
      <sz val="18"/>
      <color theme="1"/>
      <name val="Calibri"/>
    </font>
    <font>
      <sz val="16"/>
      <color theme="1"/>
      <name val="Calibri"/>
    </font>
    <font>
      <i/>
      <sz val="11"/>
      <color theme="1"/>
      <name val="Calibri"/>
    </font>
    <font>
      <i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A6A6A6"/>
        <bgColor rgb="FFA6A6A6"/>
      </patternFill>
    </fill>
    <fill>
      <patternFill patternType="solid">
        <fgColor rgb="FFFBE5D6"/>
        <bgColor rgb="FFFBE5D6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49" fontId="6" fillId="7" borderId="9" xfId="0" applyNumberFormat="1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164" fontId="6" fillId="7" borderId="9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9" borderId="9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4" fillId="0" borderId="0" xfId="0" applyFont="1"/>
    <xf numFmtId="0" fontId="15" fillId="0" borderId="0" xfId="0" applyFont="1"/>
    <xf numFmtId="49" fontId="10" fillId="10" borderId="9" xfId="0" applyNumberFormat="1" applyFont="1" applyFill="1" applyBorder="1" applyAlignment="1">
      <alignment horizontal="center" vertical="center" wrapText="1"/>
    </xf>
    <xf numFmtId="164" fontId="12" fillId="8" borderId="9" xfId="0" applyNumberFormat="1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49" fontId="9" fillId="2" borderId="1" xfId="0" applyNumberFormat="1" applyFont="1" applyFill="1" applyBorder="1"/>
    <xf numFmtId="0" fontId="9" fillId="2" borderId="1" xfId="0" applyFont="1" applyFill="1" applyBorder="1"/>
    <xf numFmtId="4" fontId="9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vertical="top" wrapText="1"/>
    </xf>
    <xf numFmtId="0" fontId="4" fillId="0" borderId="3" xfId="0" applyFont="1" applyBorder="1"/>
    <xf numFmtId="0" fontId="7" fillId="2" borderId="2" xfId="0" applyFont="1" applyFill="1" applyBorder="1" applyAlignment="1">
      <alignment horizontal="left" vertical="center" wrapText="1"/>
    </xf>
    <xf numFmtId="0" fontId="0" fillId="0" borderId="0" xfId="0"/>
    <xf numFmtId="0" fontId="4" fillId="0" borderId="3" xfId="0" applyFont="1" applyBorder="1"/>
    <xf numFmtId="0" fontId="6" fillId="7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0" fontId="4" fillId="0" borderId="12" xfId="0" applyFont="1" applyBorder="1"/>
    <xf numFmtId="0" fontId="6" fillId="3" borderId="6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2" fillId="4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4" fontId="6" fillId="3" borderId="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8"/>
  <sheetViews>
    <sheetView tabSelected="1" zoomScale="85" zoomScaleNormal="85" workbookViewId="0">
      <selection activeCell="K21" sqref="K21"/>
    </sheetView>
  </sheetViews>
  <sheetFormatPr defaultColWidth="14.42578125" defaultRowHeight="15" customHeight="1" outlineLevelRow="3"/>
  <cols>
    <col min="1" max="1" width="13.140625" customWidth="1"/>
    <col min="2" max="2" width="15.42578125" customWidth="1"/>
    <col min="3" max="3" width="35.28515625" customWidth="1"/>
    <col min="4" max="4" width="55.140625" customWidth="1"/>
    <col min="5" max="5" width="9" customWidth="1"/>
    <col min="6" max="6" width="18.7109375" customWidth="1"/>
    <col min="7" max="7" width="23.85546875" customWidth="1"/>
    <col min="8" max="25" width="9.140625" customWidth="1"/>
  </cols>
  <sheetData>
    <row r="1" spans="1:25" ht="18.75">
      <c r="A1" s="1"/>
      <c r="B1" s="2"/>
      <c r="C1" s="2"/>
      <c r="D1" s="2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8.25" customHeight="1">
      <c r="A2" s="43" t="s">
        <v>1</v>
      </c>
      <c r="B2" s="38"/>
      <c r="C2" s="44" t="s">
        <v>2</v>
      </c>
      <c r="D2" s="38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8.25" customHeight="1">
      <c r="A3" s="43" t="s">
        <v>3</v>
      </c>
      <c r="B3" s="38"/>
      <c r="C3" s="44" t="s">
        <v>4</v>
      </c>
      <c r="D3" s="38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8.25" customHeight="1">
      <c r="A4" s="43" t="s">
        <v>5</v>
      </c>
      <c r="B4" s="38"/>
      <c r="C4" s="44" t="s">
        <v>6</v>
      </c>
      <c r="D4" s="38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.75">
      <c r="A5" s="4"/>
      <c r="B5" s="4"/>
      <c r="C5" s="5"/>
      <c r="D5" s="4"/>
      <c r="E5" s="3"/>
      <c r="F5" s="3" t="s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.75">
      <c r="A6" s="5" t="s">
        <v>7</v>
      </c>
      <c r="B6" s="4"/>
      <c r="C6" s="5"/>
      <c r="D6" s="4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.75">
      <c r="A7" s="52"/>
      <c r="B7" s="38"/>
      <c r="C7" s="45" t="s">
        <v>8</v>
      </c>
      <c r="D7" s="38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.75">
      <c r="A8" s="53"/>
      <c r="B8" s="38"/>
      <c r="C8" s="45" t="s">
        <v>9</v>
      </c>
      <c r="D8" s="38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9.25" customHeight="1">
      <c r="A9" s="6"/>
      <c r="B9" s="7"/>
      <c r="C9" s="7"/>
      <c r="D9" s="8"/>
      <c r="E9" s="54" t="s">
        <v>10</v>
      </c>
      <c r="F9" s="3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9.25" customHeight="1">
      <c r="A10" s="6"/>
      <c r="B10" s="7"/>
      <c r="C10" s="7"/>
      <c r="D10" s="8"/>
      <c r="E10" s="54" t="s">
        <v>11</v>
      </c>
      <c r="F10" s="3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6.75" customHeight="1">
      <c r="A11" s="55" t="s">
        <v>12</v>
      </c>
      <c r="B11" s="50" t="s">
        <v>13</v>
      </c>
      <c r="C11" s="46" t="s">
        <v>14</v>
      </c>
      <c r="D11" s="47"/>
      <c r="E11" s="50" t="s">
        <v>15</v>
      </c>
      <c r="F11" s="56" t="s">
        <v>16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31.5" customHeight="1">
      <c r="A12" s="51"/>
      <c r="B12" s="51"/>
      <c r="C12" s="48"/>
      <c r="D12" s="49"/>
      <c r="E12" s="51"/>
      <c r="F12" s="5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28.5" customHeight="1" outlineLevel="2">
      <c r="A13" s="12" t="s">
        <v>17</v>
      </c>
      <c r="B13" s="13" t="s">
        <v>18</v>
      </c>
      <c r="C13" s="39" t="s">
        <v>19</v>
      </c>
      <c r="D13" s="38"/>
      <c r="E13" s="13"/>
      <c r="F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s="37" customFormat="1" ht="17.25" customHeight="1" outlineLevel="3">
      <c r="A14" s="15"/>
      <c r="B14" s="16"/>
      <c r="C14" s="36"/>
      <c r="D14" s="35"/>
      <c r="E14" s="16"/>
      <c r="F14" s="17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28.5" customHeight="1" outlineLevel="3">
      <c r="A15" s="18"/>
      <c r="B15" s="19" t="s">
        <v>24</v>
      </c>
      <c r="C15" s="41" t="s">
        <v>25</v>
      </c>
      <c r="D15" s="38"/>
      <c r="E15" s="19" t="s">
        <v>21</v>
      </c>
      <c r="F15" s="20">
        <v>48</v>
      </c>
      <c r="G15" s="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8.5" customHeight="1" outlineLevel="3">
      <c r="A16" s="18"/>
      <c r="B16" s="19" t="s">
        <v>26</v>
      </c>
      <c r="C16" s="41" t="s">
        <v>27</v>
      </c>
      <c r="D16" s="38"/>
      <c r="E16" s="19" t="s">
        <v>21</v>
      </c>
      <c r="F16" s="20">
        <f t="shared" ref="F16" si="0">F15</f>
        <v>48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28.5" customHeight="1" outlineLevel="3">
      <c r="A17" s="18"/>
      <c r="B17" s="19" t="s">
        <v>28</v>
      </c>
      <c r="C17" s="41" t="s">
        <v>29</v>
      </c>
      <c r="D17" s="38"/>
      <c r="E17" s="19" t="s">
        <v>21</v>
      </c>
      <c r="F17" s="20">
        <f>F15</f>
        <v>48</v>
      </c>
      <c r="G17" s="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28.5" customHeight="1" outlineLevel="3">
      <c r="A18" s="18"/>
      <c r="B18" s="19" t="s">
        <v>30</v>
      </c>
      <c r="C18" s="41" t="s">
        <v>31</v>
      </c>
      <c r="D18" s="38"/>
      <c r="E18" s="19" t="s">
        <v>32</v>
      </c>
      <c r="F18" s="20">
        <f>2+1</f>
        <v>3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28.5" customHeight="1" outlineLevel="3">
      <c r="A19" s="18"/>
      <c r="B19" s="19" t="s">
        <v>33</v>
      </c>
      <c r="C19" s="41" t="s">
        <v>34</v>
      </c>
      <c r="D19" s="38"/>
      <c r="E19" s="19" t="s">
        <v>32</v>
      </c>
      <c r="F19" s="20">
        <f>1+2+2</f>
        <v>5</v>
      </c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28.5" customHeight="1" outlineLevel="3">
      <c r="A20" s="18"/>
      <c r="B20" s="19" t="s">
        <v>35</v>
      </c>
      <c r="C20" s="41" t="s">
        <v>36</v>
      </c>
      <c r="D20" s="38"/>
      <c r="E20" s="19" t="s">
        <v>32</v>
      </c>
      <c r="F20" s="20">
        <f t="shared" ref="F20:F21" si="1">1+2</f>
        <v>3</v>
      </c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28.5" customHeight="1" outlineLevel="3">
      <c r="A21" s="18"/>
      <c r="B21" s="19" t="s">
        <v>37</v>
      </c>
      <c r="C21" s="41" t="s">
        <v>38</v>
      </c>
      <c r="D21" s="38"/>
      <c r="E21" s="19" t="s">
        <v>20</v>
      </c>
      <c r="F21" s="20">
        <f t="shared" si="1"/>
        <v>3</v>
      </c>
      <c r="G21" s="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28.5" customHeight="1" outlineLevel="3">
      <c r="A22" s="18"/>
      <c r="B22" s="19" t="s">
        <v>39</v>
      </c>
      <c r="C22" s="41" t="s">
        <v>40</v>
      </c>
      <c r="D22" s="38"/>
      <c r="E22" s="19" t="s">
        <v>32</v>
      </c>
      <c r="F22" s="20">
        <v>4</v>
      </c>
      <c r="G22" s="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28.5" customHeight="1" outlineLevel="3">
      <c r="A23" s="18"/>
      <c r="B23" s="19" t="s">
        <v>41</v>
      </c>
      <c r="C23" s="41" t="s">
        <v>42</v>
      </c>
      <c r="D23" s="38"/>
      <c r="E23" s="19" t="s">
        <v>20</v>
      </c>
      <c r="F23" s="20">
        <f>2+2+2</f>
        <v>6</v>
      </c>
      <c r="G23" s="1"/>
      <c r="H23" s="1"/>
      <c r="I23" s="11"/>
      <c r="J23" s="23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28.5" customHeight="1" outlineLevel="3">
      <c r="A24" s="18"/>
      <c r="B24" s="19" t="s">
        <v>43</v>
      </c>
      <c r="C24" s="41" t="s">
        <v>44</v>
      </c>
      <c r="D24" s="38"/>
      <c r="E24" s="19" t="s">
        <v>20</v>
      </c>
      <c r="F24" s="20">
        <v>2</v>
      </c>
      <c r="G24" s="1"/>
      <c r="H24" s="1"/>
      <c r="I24" s="11"/>
      <c r="J24" s="24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28.5" customHeight="1" outlineLevel="3">
      <c r="A25" s="18"/>
      <c r="B25" s="19" t="s">
        <v>45</v>
      </c>
      <c r="C25" s="41" t="s">
        <v>46</v>
      </c>
      <c r="D25" s="38"/>
      <c r="E25" s="19" t="s">
        <v>20</v>
      </c>
      <c r="F25" s="20">
        <f>4+4</f>
        <v>8</v>
      </c>
      <c r="G25" s="1"/>
      <c r="H25" s="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28.5" customHeight="1" outlineLevel="3">
      <c r="A26" s="18"/>
      <c r="B26" s="19" t="s">
        <v>47</v>
      </c>
      <c r="C26" s="41" t="s">
        <v>48</v>
      </c>
      <c r="D26" s="38"/>
      <c r="E26" s="19" t="s">
        <v>20</v>
      </c>
      <c r="F26" s="20">
        <f>1+1</f>
        <v>2</v>
      </c>
      <c r="G26" s="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28.5" customHeight="1" outlineLevel="3">
      <c r="A27" s="18"/>
      <c r="B27" s="19" t="s">
        <v>49</v>
      </c>
      <c r="C27" s="41" t="s">
        <v>50</v>
      </c>
      <c r="D27" s="38"/>
      <c r="E27" s="19" t="s">
        <v>20</v>
      </c>
      <c r="F27" s="20">
        <v>10</v>
      </c>
      <c r="G27" s="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28.5" customHeight="1" outlineLevel="3">
      <c r="A28" s="18"/>
      <c r="B28" s="19" t="s">
        <v>51</v>
      </c>
      <c r="C28" s="41" t="s">
        <v>52</v>
      </c>
      <c r="D28" s="38"/>
      <c r="E28" s="19" t="s">
        <v>20</v>
      </c>
      <c r="F28" s="20">
        <v>6</v>
      </c>
      <c r="G28" s="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28.5" customHeight="1" outlineLevel="3">
      <c r="A29" s="18"/>
      <c r="B29" s="19" t="s">
        <v>53</v>
      </c>
      <c r="C29" s="41" t="s">
        <v>54</v>
      </c>
      <c r="D29" s="38"/>
      <c r="E29" s="19" t="s">
        <v>20</v>
      </c>
      <c r="F29" s="20">
        <v>25</v>
      </c>
      <c r="G29" s="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28.5" customHeight="1" outlineLevel="3">
      <c r="A30" s="18"/>
      <c r="B30" s="19" t="s">
        <v>55</v>
      </c>
      <c r="C30" s="41" t="s">
        <v>56</v>
      </c>
      <c r="D30" s="38"/>
      <c r="E30" s="19" t="s">
        <v>20</v>
      </c>
      <c r="F30" s="20">
        <v>16</v>
      </c>
      <c r="G30" s="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28.5" customHeight="1" outlineLevel="3">
      <c r="A31" s="18"/>
      <c r="B31" s="19" t="s">
        <v>57</v>
      </c>
      <c r="C31" s="41" t="s">
        <v>58</v>
      </c>
      <c r="D31" s="38"/>
      <c r="E31" s="19" t="s">
        <v>20</v>
      </c>
      <c r="F31" s="20">
        <v>4</v>
      </c>
      <c r="G31" s="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28.5" customHeight="1" outlineLevel="3">
      <c r="A32" s="18"/>
      <c r="B32" s="19" t="s">
        <v>59</v>
      </c>
      <c r="C32" s="41" t="s">
        <v>60</v>
      </c>
      <c r="D32" s="38"/>
      <c r="E32" s="19" t="s">
        <v>32</v>
      </c>
      <c r="F32" s="20">
        <v>2</v>
      </c>
      <c r="G32" s="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7" ht="28.5" customHeight="1" outlineLevel="3">
      <c r="A33" s="18"/>
      <c r="B33" s="19" t="s">
        <v>61</v>
      </c>
      <c r="C33" s="41" t="s">
        <v>62</v>
      </c>
      <c r="D33" s="38"/>
      <c r="E33" s="19" t="s">
        <v>20</v>
      </c>
      <c r="F33" s="20">
        <v>1</v>
      </c>
      <c r="G33" s="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7" ht="28.5" customHeight="1" outlineLevel="3">
      <c r="A34" s="18"/>
      <c r="B34" s="19" t="s">
        <v>63</v>
      </c>
      <c r="C34" s="41" t="s">
        <v>64</v>
      </c>
      <c r="D34" s="38"/>
      <c r="E34" s="19" t="s">
        <v>32</v>
      </c>
      <c r="F34" s="20">
        <v>13</v>
      </c>
      <c r="G34" s="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7" ht="28.5" customHeight="1" outlineLevel="3">
      <c r="A35" s="18"/>
      <c r="B35" s="19" t="s">
        <v>65</v>
      </c>
      <c r="C35" s="41" t="s">
        <v>22</v>
      </c>
      <c r="D35" s="38"/>
      <c r="E35" s="19" t="s">
        <v>20</v>
      </c>
      <c r="F35" s="20">
        <v>5</v>
      </c>
      <c r="G35" s="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7" ht="28.5" customHeight="1" outlineLevel="3">
      <c r="A36" s="15"/>
      <c r="B36" s="25" t="s">
        <v>23</v>
      </c>
      <c r="C36" s="40" t="s">
        <v>66</v>
      </c>
      <c r="D36" s="38"/>
      <c r="E36" s="16" t="s">
        <v>20</v>
      </c>
      <c r="F36" s="26">
        <v>5</v>
      </c>
      <c r="G36" s="1"/>
      <c r="H36" s="1"/>
      <c r="I36" s="1"/>
      <c r="J36" s="1"/>
      <c r="K36" s="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7" ht="28.5" customHeight="1" outlineLevel="3">
      <c r="A37" s="18"/>
      <c r="B37" s="27" t="s">
        <v>67</v>
      </c>
      <c r="C37" s="41" t="s">
        <v>68</v>
      </c>
      <c r="D37" s="38"/>
      <c r="E37" s="19" t="s">
        <v>20</v>
      </c>
      <c r="F37" s="21">
        <v>14</v>
      </c>
      <c r="G37" s="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7" ht="28.5" customHeight="1" outlineLevel="3">
      <c r="A38" s="15"/>
      <c r="B38" s="18" t="s">
        <v>23</v>
      </c>
      <c r="C38" s="40" t="s">
        <v>69</v>
      </c>
      <c r="D38" s="38"/>
      <c r="E38" s="16" t="s">
        <v>21</v>
      </c>
      <c r="F38" s="26">
        <f>25</f>
        <v>25</v>
      </c>
      <c r="G38" s="1"/>
      <c r="H38" s="1"/>
      <c r="I38" s="1"/>
      <c r="J38" s="1"/>
      <c r="K38" s="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7" ht="28.5" customHeight="1" outlineLevel="3">
      <c r="A39" s="18"/>
      <c r="B39" s="19" t="s">
        <v>70</v>
      </c>
      <c r="C39" s="41" t="s">
        <v>71</v>
      </c>
      <c r="D39" s="38"/>
      <c r="E39" s="19" t="s">
        <v>20</v>
      </c>
      <c r="F39" s="21">
        <v>7</v>
      </c>
      <c r="G39" s="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7" ht="28.5" customHeight="1" outlineLevel="3">
      <c r="A40" s="18"/>
      <c r="B40" s="19" t="s">
        <v>65</v>
      </c>
      <c r="C40" s="42" t="s">
        <v>72</v>
      </c>
      <c r="D40" s="38"/>
      <c r="E40" s="19" t="s">
        <v>20</v>
      </c>
      <c r="F40" s="21">
        <v>10</v>
      </c>
      <c r="G40" s="28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30"/>
      <c r="AA40" s="30"/>
    </row>
    <row r="41" spans="1:27" ht="15.75" customHeight="1">
      <c r="A41" s="31"/>
      <c r="B41" s="32"/>
      <c r="C41" s="32"/>
      <c r="D41" s="32"/>
      <c r="E41" s="32"/>
      <c r="F41" s="3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7" ht="15.75" customHeight="1">
      <c r="A42" s="31"/>
      <c r="B42" s="2"/>
      <c r="C42" s="32"/>
      <c r="D42" s="32"/>
      <c r="E42" s="32"/>
      <c r="F42" s="3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7" ht="15.75" customHeight="1">
      <c r="A43" s="31"/>
      <c r="B43" s="32"/>
      <c r="C43" s="32"/>
      <c r="D43" s="32"/>
      <c r="E43" s="32"/>
      <c r="F43" s="3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7" ht="15.75" customHeight="1">
      <c r="A44" s="31"/>
      <c r="B44" s="32"/>
      <c r="C44" s="32"/>
      <c r="D44" s="32"/>
      <c r="E44" s="32"/>
      <c r="F44" s="3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7" ht="15.75" customHeight="1">
      <c r="A45" s="34"/>
      <c r="B45" s="32"/>
      <c r="C45" s="32"/>
      <c r="D45" s="32"/>
      <c r="E45" s="32"/>
      <c r="F45" s="3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7" ht="15.75" customHeight="1">
      <c r="A46" s="31"/>
      <c r="B46" s="32"/>
      <c r="C46" s="32"/>
      <c r="D46" s="32"/>
      <c r="E46" s="32"/>
      <c r="F46" s="3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</sheetData>
  <mergeCells count="44">
    <mergeCell ref="E10:F10"/>
    <mergeCell ref="A4:B4"/>
    <mergeCell ref="A11:A12"/>
    <mergeCell ref="B11:B12"/>
    <mergeCell ref="F11:F12"/>
    <mergeCell ref="A2:B2"/>
    <mergeCell ref="C2:D2"/>
    <mergeCell ref="A3:B3"/>
    <mergeCell ref="C3:D3"/>
    <mergeCell ref="C4:D4"/>
    <mergeCell ref="C7:D7"/>
    <mergeCell ref="C8:D8"/>
    <mergeCell ref="C11:D12"/>
    <mergeCell ref="E11:E12"/>
    <mergeCell ref="A7:B7"/>
    <mergeCell ref="A8:B8"/>
    <mergeCell ref="E9:F9"/>
    <mergeCell ref="C13:D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1:D31"/>
    <mergeCell ref="C30:D30"/>
    <mergeCell ref="C32:D32"/>
    <mergeCell ref="C33:D33"/>
    <mergeCell ref="C34:D34"/>
    <mergeCell ref="C35:D35"/>
    <mergeCell ref="C38:D38"/>
    <mergeCell ref="C39:D39"/>
    <mergeCell ref="C37:D37"/>
    <mergeCell ref="C36:D36"/>
    <mergeCell ref="C40:D4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Certified Windows</dc:creator>
  <cp:lastModifiedBy>MSI</cp:lastModifiedBy>
  <dcterms:created xsi:type="dcterms:W3CDTF">2020-05-28T09:43:20Z</dcterms:created>
  <dcterms:modified xsi:type="dcterms:W3CDTF">2026-05-28T09:19:54Z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mmentColumnIndex">
    <vt:lpwstr>13</vt:lpwstr>
  </property>
  <property fmtid="{D5CDD505-2E9C-101B-9397-08002B2CF9AE}" pid="7" name="firstRowsToSkipMinusOneRowIndex">
    <vt:lpwstr>11</vt:lpwstr>
  </property>
  <property fmtid="{D5CDD505-2E9C-101B-9397-08002B2CF9AE}" pid="8" name="goodsPriceColumnIndex">
    <vt:lpwstr>7</vt:lpwstr>
  </property>
  <property fmtid="{D5CDD505-2E9C-101B-9397-08002B2CF9AE}" pid="9" name="lastRowsToSkipRowIndex">
    <vt:lpwstr>49</vt:lpwstr>
  </property>
  <property fmtid="{D5CDD505-2E9C-101B-9397-08002B2CF9AE}" pid="10" name="validityColumnIndex">
    <vt:lpwstr>0</vt:lpwstr>
  </property>
  <property fmtid="{D5CDD505-2E9C-101B-9397-08002B2CF9AE}" pid="11" name="worksPriceColumnIndex">
    <vt:lpwstr>8</vt:lpwstr>
  </property>
</Properties>
</file>