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MSI\Desktop\"/>
    </mc:Choice>
  </mc:AlternateContent>
  <xr:revisionPtr revIDLastSave="0" documentId="8_{E277FEF8-6E50-41C2-B776-06DAB18B36D6}" xr6:coauthVersionLast="47" xr6:coauthVersionMax="47" xr10:uidLastSave="{00000000-0000-0000-0000-000000000000}"/>
  <bookViews>
    <workbookView xWindow="20280" yWindow="1725" windowWidth="17490" windowHeight="19170" xr2:uid="{00000000-000D-0000-FFFF-FFFF00000000}"/>
  </bookViews>
  <sheets>
    <sheet name="КС2 №1" sheetId="10" r:id="rId1"/>
    <sheet name="КС3 №1" sheetId="9" r:id="rId2"/>
  </sheets>
  <externalReferences>
    <externalReference r:id="rId3"/>
  </externalReferences>
  <definedNames>
    <definedName name="_____xlnm.Print_Area">#REF!</definedName>
    <definedName name="_____xlnm.Print_Area_1">#REF!</definedName>
    <definedName name="_____xlnm.Print_Titles">#REF!</definedName>
    <definedName name="____xlnm.Print_Area">#REF!</definedName>
    <definedName name="____xlnm.Print_Area_1">#REF!</definedName>
    <definedName name="____xlnm.Print_Titles">#REF!</definedName>
    <definedName name="___xlnm.Print_Area">#REF!</definedName>
    <definedName name="___xlnm.Print_Area_1">#REF!</definedName>
    <definedName name="___xlnm.Print_Titles">#REF!</definedName>
    <definedName name="__xlnm.Print_Area">#REF!</definedName>
    <definedName name="__xlnm.Print_Area_1">#REF!</definedName>
    <definedName name="__xlnm.Print_Area_2">#REF!</definedName>
    <definedName name="__xlnm.Print_Area_3">#REF!</definedName>
    <definedName name="__xlnm.Print_Area_4">#REF!</definedName>
    <definedName name="__xlnm.Print_Area_6">#REF!</definedName>
    <definedName name="__xlnm.Print_Titles">#REF!</definedName>
    <definedName name="_xlnm._FilterDatabase" localSheetId="0" hidden="1">'КС2 №1'!$A$22:$K$70</definedName>
    <definedName name="a">#REF!</definedName>
    <definedName name="a_kl">#REF!</definedName>
    <definedName name="B">#REF!</definedName>
    <definedName name="b_kl">#REF!</definedName>
    <definedName name="evro">#REF!</definedName>
    <definedName name="Excel_BuiltIn_Print_Area">#REF!</definedName>
    <definedName name="gbp">#REF!</definedName>
    <definedName name="k">#REF!</definedName>
    <definedName name="korr_mo">#REF!</definedName>
    <definedName name="m">#REF!</definedName>
    <definedName name="non">#REF!</definedName>
    <definedName name="ord">#REF!</definedName>
    <definedName name="PCc">#REF!</definedName>
    <definedName name="PKf">#REF!</definedName>
    <definedName name="PSl">#REF!</definedName>
    <definedName name="roz">#REF!</definedName>
    <definedName name="roza">#REF!</definedName>
    <definedName name="s">#REF!</definedName>
    <definedName name="usd">#REF!</definedName>
    <definedName name="а">#REF!</definedName>
    <definedName name="асном">#REF!</definedName>
    <definedName name="б">#REF!</definedName>
    <definedName name="ВалютнаяЦена">#REF!</definedName>
    <definedName name="вес">#REF!</definedName>
    <definedName name="Возврат">'[1]смр с нач'!$D$36</definedName>
    <definedName name="_xlnm.Print_Titles" localSheetId="0">'КС2 №1'!$A:$J,'КС2 №1'!$20:$22</definedName>
    <definedName name="ЗЛа">#REF!</definedName>
    <definedName name="ключи">"#REF!"</definedName>
    <definedName name="ключи_1">"#REF!"</definedName>
    <definedName name="КодБазы">#REF!</definedName>
    <definedName name="Кол_во_в_уп_Kc">#REF!</definedName>
    <definedName name="Кол_во_в_уп_Sl">#REF!</definedName>
    <definedName name="Кол_во_в_уп_Stl">#REF!</definedName>
    <definedName name="Кол_во_в_уп_Сс">#REF!</definedName>
    <definedName name="МелкийОпт">#REF!</definedName>
    <definedName name="_xlnm.Print_Area" localSheetId="0">'КС2 №1'!$A$1:$J$92</definedName>
    <definedName name="_xlnm.Print_Area" localSheetId="1">'КС3 №1'!$A$1:$I$60</definedName>
    <definedName name="ПалетаKc">#REF!</definedName>
    <definedName name="ПалетаSl">#REF!</definedName>
    <definedName name="ПалетаStL">#REF!</definedName>
    <definedName name="ПалетаСс">#REF!</definedName>
    <definedName name="Паллета">#REF!</definedName>
    <definedName name="р">#REF!</definedName>
    <definedName name="ррр">#REF!</definedName>
    <definedName name="ррррррр">#REF!</definedName>
    <definedName name="т1">#REF!</definedName>
    <definedName name="тег">#REF!</definedName>
    <definedName name="Услуги">'[1]смр с нач'!$D$37</definedName>
    <definedName name="ЦенаClever">#REF!</definedName>
    <definedName name="ЦенаFC">#REF!</definedName>
    <definedName name="ЦенаGC">#REF!</definedName>
    <definedName name="ЦенаIL">#REF!</definedName>
    <definedName name="ЦенаKc">#REF!</definedName>
    <definedName name="ЦенаKf">#REF!</definedName>
    <definedName name="ЦенаKL">#REF!</definedName>
    <definedName name="ЦенаKronofix">#REF!</definedName>
    <definedName name="ЦенаKV4">#REF!</definedName>
    <definedName name="ЦенаKа">#REF!</definedName>
    <definedName name="ЦенаSaxonLoc">#REF!</definedName>
    <definedName name="ЦенаSl">#REF!</definedName>
    <definedName name="ЦенаStl">#REF!</definedName>
    <definedName name="ЦенаСс">#REF!</definedName>
    <definedName name="ш">#REF!</definedName>
    <definedName name="щ">#REF!</definedName>
  </definedNames>
  <calcPr calcId="191029" fullPrecision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1" i="10" l="1"/>
  <c r="F27" i="10"/>
  <c r="F28" i="10"/>
  <c r="F29" i="10"/>
  <c r="F30" i="10"/>
  <c r="F32" i="10"/>
  <c r="F33" i="10"/>
  <c r="F34" i="10"/>
  <c r="F35" i="10"/>
  <c r="F36" i="10"/>
  <c r="F37" i="10"/>
  <c r="F38" i="10"/>
  <c r="F39" i="10"/>
  <c r="F40" i="10"/>
  <c r="F41" i="10"/>
  <c r="F42" i="10"/>
  <c r="F43" i="10"/>
  <c r="F44" i="10"/>
  <c r="F45" i="10"/>
  <c r="F46" i="10"/>
  <c r="F47" i="10"/>
  <c r="F48" i="10"/>
  <c r="F49" i="10"/>
  <c r="F50" i="10"/>
  <c r="F51" i="10"/>
  <c r="F52" i="10"/>
  <c r="F53" i="10"/>
  <c r="F54" i="10"/>
  <c r="F55" i="10"/>
  <c r="F56" i="10"/>
  <c r="F57" i="10"/>
  <c r="F58" i="10"/>
  <c r="F59" i="10"/>
  <c r="F60" i="10"/>
  <c r="F61" i="10"/>
  <c r="F62" i="10"/>
  <c r="F63" i="10"/>
  <c r="F64" i="10"/>
  <c r="F65" i="10"/>
  <c r="F66" i="10"/>
  <c r="F67" i="10"/>
  <c r="F68" i="10"/>
  <c r="F26" i="10"/>
  <c r="H31" i="10"/>
  <c r="H68" i="10"/>
  <c r="J68" i="10"/>
  <c r="J67" i="10"/>
  <c r="J65" i="10"/>
  <c r="J64" i="10"/>
  <c r="J63" i="10"/>
  <c r="J62" i="10"/>
  <c r="J61" i="10"/>
  <c r="J60" i="10"/>
  <c r="J59" i="10"/>
  <c r="J58" i="10"/>
  <c r="J57" i="10"/>
  <c r="J55" i="10"/>
  <c r="J53" i="10"/>
  <c r="J51" i="10"/>
  <c r="J48" i="10"/>
  <c r="H48" i="10"/>
  <c r="J47" i="10"/>
  <c r="H47" i="10"/>
  <c r="H46" i="10"/>
  <c r="J45" i="10"/>
  <c r="H45" i="10"/>
  <c r="J44" i="10"/>
  <c r="H44" i="10"/>
  <c r="J42" i="10"/>
  <c r="J41" i="10"/>
  <c r="H40" i="10"/>
  <c r="J38" i="10"/>
  <c r="J37" i="10"/>
  <c r="J36" i="10"/>
  <c r="J35" i="10"/>
  <c r="J34" i="10"/>
  <c r="J33" i="10"/>
  <c r="H32" i="10"/>
  <c r="J29" i="10"/>
  <c r="H28" i="10"/>
  <c r="J28" i="10"/>
  <c r="H27" i="10"/>
  <c r="J27" i="10"/>
  <c r="H26" i="10"/>
  <c r="J26" i="10"/>
  <c r="V56" i="10"/>
  <c r="S56" i="10"/>
  <c r="R56" i="10"/>
  <c r="Q56" i="10"/>
  <c r="V46" i="10"/>
  <c r="S46" i="10"/>
  <c r="R46" i="10"/>
  <c r="Q46" i="10"/>
  <c r="V66" i="10"/>
  <c r="S66" i="10"/>
  <c r="R66" i="10"/>
  <c r="Q66" i="10"/>
  <c r="B10" i="9" l="1"/>
  <c r="V25" i="10" l="1"/>
  <c r="V26" i="10"/>
  <c r="V27" i="10"/>
  <c r="V28" i="10"/>
  <c r="V29" i="10"/>
  <c r="V30" i="10"/>
  <c r="V31" i="10"/>
  <c r="V32" i="10"/>
  <c r="V33" i="10"/>
  <c r="V34" i="10"/>
  <c r="V35" i="10"/>
  <c r="V36" i="10"/>
  <c r="V37" i="10"/>
  <c r="V38" i="10"/>
  <c r="V39" i="10"/>
  <c r="V24" i="10"/>
  <c r="Q31" i="10"/>
  <c r="R31" i="10"/>
  <c r="S31" i="10"/>
  <c r="Q32" i="10"/>
  <c r="R32" i="10"/>
  <c r="S32" i="10"/>
  <c r="Q33" i="10"/>
  <c r="R33" i="10"/>
  <c r="S33" i="10"/>
  <c r="Q34" i="10"/>
  <c r="R34" i="10"/>
  <c r="S34" i="10"/>
  <c r="Q35" i="10"/>
  <c r="R35" i="10"/>
  <c r="S35" i="10"/>
  <c r="Q36" i="10"/>
  <c r="R36" i="10"/>
  <c r="S36" i="10"/>
  <c r="Q37" i="10"/>
  <c r="R37" i="10"/>
  <c r="S37" i="10"/>
  <c r="Q38" i="10"/>
  <c r="R38" i="10"/>
  <c r="S38" i="10"/>
  <c r="Q39" i="10"/>
  <c r="R39" i="10"/>
  <c r="S39" i="10"/>
  <c r="Q69" i="10"/>
  <c r="R69" i="10"/>
  <c r="S69" i="10"/>
  <c r="S30" i="10"/>
  <c r="R30" i="10"/>
  <c r="Q30" i="10"/>
  <c r="S24" i="10"/>
  <c r="R24" i="10"/>
  <c r="Q25" i="10"/>
  <c r="R25" i="10"/>
  <c r="S25" i="10"/>
  <c r="Q26" i="10"/>
  <c r="R26" i="10"/>
  <c r="S26" i="10"/>
  <c r="Q27" i="10"/>
  <c r="R27" i="10"/>
  <c r="S27" i="10"/>
  <c r="Q28" i="10"/>
  <c r="R28" i="10"/>
  <c r="S28" i="10"/>
  <c r="Q24" i="10"/>
  <c r="H23" i="9" l="1"/>
  <c r="G23" i="9"/>
  <c r="I23" i="9" s="1"/>
  <c r="F69" i="10" l="1"/>
  <c r="F70" i="10" s="1"/>
  <c r="J69" i="10" l="1"/>
  <c r="H69" i="10"/>
  <c r="J71" i="10" l="1"/>
  <c r="J77" i="10" s="1"/>
  <c r="K70" i="10"/>
  <c r="J70" i="10"/>
  <c r="H70" i="10"/>
  <c r="F23" i="9"/>
  <c r="K71" i="10" l="1"/>
  <c r="I35" i="9"/>
  <c r="K78" i="10" l="1"/>
  <c r="M70" i="10"/>
  <c r="J78" i="10" l="1"/>
  <c r="G35" i="9"/>
  <c r="G36" i="9" s="1"/>
  <c r="H35" i="9"/>
  <c r="H36" i="9" s="1"/>
  <c r="I36" i="9"/>
  <c r="I42" i="9" s="1"/>
  <c r="I34" i="9"/>
  <c r="H34" i="9" l="1"/>
  <c r="G34" i="9"/>
  <c r="I33" i="9"/>
  <c r="G33" i="9" l="1"/>
  <c r="H33" i="9"/>
  <c r="I32" i="9"/>
  <c r="I31" i="9" s="1"/>
  <c r="I43" i="9" l="1"/>
  <c r="H32" i="9"/>
  <c r="H31" i="9"/>
  <c r="G31" i="9"/>
  <c r="G32" i="9"/>
</calcChain>
</file>

<file path=xl/sharedStrings.xml><?xml version="1.0" encoding="utf-8"?>
<sst xmlns="http://schemas.openxmlformats.org/spreadsheetml/2006/main" count="297" uniqueCount="205">
  <si>
    <t xml:space="preserve"> Форма № КС-2</t>
  </si>
  <si>
    <t xml:space="preserve"> Код</t>
  </si>
  <si>
    <t>Форма по ОКУД</t>
  </si>
  <si>
    <t>по ОКПО</t>
  </si>
  <si>
    <t>организация, адрес, телефон, факс</t>
  </si>
  <si>
    <t>наименование, адрес</t>
  </si>
  <si>
    <t>Вид деятельности по ОКВЭД</t>
  </si>
  <si>
    <t>Договор подряда</t>
  </si>
  <si>
    <t>номер</t>
  </si>
  <si>
    <t>дата</t>
  </si>
  <si>
    <t>Номер документа</t>
  </si>
  <si>
    <t>Дата составления</t>
  </si>
  <si>
    <t>Отчетный период</t>
  </si>
  <si>
    <t xml:space="preserve"> с</t>
  </si>
  <si>
    <t xml:space="preserve">  по</t>
  </si>
  <si>
    <t>О  ПРИЕМКЕ ВЫПОЛНЕННЫХ РАБОТ</t>
  </si>
  <si>
    <t>№ п/п</t>
  </si>
  <si>
    <t>Выполнено с начала строительства</t>
  </si>
  <si>
    <t>Выполнено за отчетный период</t>
  </si>
  <si>
    <t>1.1</t>
  </si>
  <si>
    <t>М.П</t>
  </si>
  <si>
    <t>подпись</t>
  </si>
  <si>
    <t>расшифровка подписи</t>
  </si>
  <si>
    <t xml:space="preserve"> </t>
  </si>
  <si>
    <t>Форма № КС-3</t>
  </si>
  <si>
    <t>Код</t>
  </si>
  <si>
    <t>0322001</t>
  </si>
  <si>
    <t>Вид операции</t>
  </si>
  <si>
    <t>с</t>
  </si>
  <si>
    <t>по</t>
  </si>
  <si>
    <t>СПРАВКА</t>
  </si>
  <si>
    <t>СТОИМОСТИ ВЫПОЛНЕННЫХ РАБОТ И ЗАТРАТ</t>
  </si>
  <si>
    <t>Наименование видов работ, оборудования, затрат</t>
  </si>
  <si>
    <t>Стоимость выполненных работ и затрат, руб.</t>
  </si>
  <si>
    <t>с начала проведения работ</t>
  </si>
  <si>
    <t>с начала года</t>
  </si>
  <si>
    <t>в том числе за отчетный период</t>
  </si>
  <si>
    <t>1.</t>
  </si>
  <si>
    <t>Всего работ и затрат, включаемых в стоимость работ</t>
  </si>
  <si>
    <t>СМР</t>
  </si>
  <si>
    <t>Итого</t>
  </si>
  <si>
    <t>Всего с учетом НДС</t>
  </si>
  <si>
    <t>(подпись)</t>
  </si>
  <si>
    <t>(расшифровка подписи)</t>
  </si>
  <si>
    <t>Заказчик</t>
  </si>
  <si>
    <t>Гарантийное удержание 5%</t>
  </si>
  <si>
    <t>Исполнитель</t>
  </si>
  <si>
    <t>Генеральный директор</t>
  </si>
  <si>
    <t>Кол-во</t>
  </si>
  <si>
    <t xml:space="preserve">АКТ </t>
  </si>
  <si>
    <t>Ед. изм.</t>
  </si>
  <si>
    <t>44333671</t>
  </si>
  <si>
    <t>ООО "ВЭЛЛДАН"</t>
  </si>
  <si>
    <r>
      <t>ООО "ВЭЛЛДАН",</t>
    </r>
    <r>
      <rPr>
        <sz val="11"/>
        <rFont val="Times New Roman"/>
        <family val="1"/>
        <charset val="204"/>
      </rPr>
      <t xml:space="preserve"> 119311, Москва г, пр-т Вернадского, д.15 кв.268, ИНН 7736328072, КПП 773601001</t>
    </r>
  </si>
  <si>
    <t>комплекс</t>
  </si>
  <si>
    <t>Стоимость итого с НДС, руб</t>
  </si>
  <si>
    <t>м</t>
  </si>
  <si>
    <t>Монтаж оптического кросса</t>
  </si>
  <si>
    <t>шт</t>
  </si>
  <si>
    <t>м3</t>
  </si>
  <si>
    <t>Земляные работы</t>
  </si>
  <si>
    <t xml:space="preserve">Засыпка песчаным грунтом (песчаное основание и засыпка с уплотнением Ку=0,95) </t>
  </si>
  <si>
    <t>Калачев А.С.</t>
  </si>
  <si>
    <t>52570646</t>
  </si>
  <si>
    <t>42.22</t>
  </si>
  <si>
    <t>ООО "ВЭЛЛДАН", 119311, Москва г, пр-т Вернадского, д.15 кв.268, ИНН 7736328072, КПП 773601001</t>
  </si>
  <si>
    <t>Дополнительное соглашение</t>
  </si>
  <si>
    <t>В т.ч. НДС 22%</t>
  </si>
  <si>
    <t>НДС 22%</t>
  </si>
  <si>
    <t>Услуги генерального подряда 1%</t>
  </si>
  <si>
    <t>Погашение аванса</t>
  </si>
  <si>
    <t>Удержание штрафных санкций</t>
  </si>
  <si>
    <t>Удержание за материалы</t>
  </si>
  <si>
    <t>Удержание за оказанные услуги</t>
  </si>
  <si>
    <t>Итого к оплате</t>
  </si>
  <si>
    <t xml:space="preserve"> в том числе НДС 22%</t>
  </si>
  <si>
    <t>Наружные сети связи. НСС</t>
  </si>
  <si>
    <t>Разработка траншеи, котлована, с механизацией, ручная доработка</t>
  </si>
  <si>
    <t>Обратная засыпка траншей грунтом с послойным уплотнением Ку=0,95</t>
  </si>
  <si>
    <t>Разборка а/б покрытий проездов и улиц</t>
  </si>
  <si>
    <t>Канализация связи</t>
  </si>
  <si>
    <t>Монтаж колодцев</t>
  </si>
  <si>
    <t>Гидроизоляция телефонных колодцев в два слоя</t>
  </si>
  <si>
    <t>Организация ввода в колодец (2 канала)</t>
  </si>
  <si>
    <t>Организация ввода в здание (2 канала)</t>
  </si>
  <si>
    <t>Монтаж кабельной канализации</t>
  </si>
  <si>
    <t>Гидроизоляция стальных футляров в два слоя</t>
  </si>
  <si>
    <t>Кабельные линии</t>
  </si>
  <si>
    <t>Прокладка кабельных линий</t>
  </si>
  <si>
    <t>Пуско-наладочные работы</t>
  </si>
  <si>
    <t xml:space="preserve"> НДС 22%</t>
  </si>
  <si>
    <t xml:space="preserve">Услуги генерального подряда </t>
  </si>
  <si>
    <t xml:space="preserve">Наименование видов работ, оборудования, затрат </t>
  </si>
  <si>
    <t>Стоимость единицы работ</t>
  </si>
  <si>
    <t>Твердая договорная стоимость, руб</t>
  </si>
  <si>
    <t>ООО «СМУ-17», 143005, Московская обл.,Одинцовский р-н, пос. Трехгорка, ул. Трехгорная, дом.4, помещение 315, ИНН 5032273578, КПП 503201001</t>
  </si>
  <si>
    <t>4012-СМР</t>
  </si>
  <si>
    <t>Сдал</t>
  </si>
  <si>
    <t>Субподрядчик:</t>
  </si>
  <si>
    <t>Принял:</t>
  </si>
  <si>
    <t>Подрядчик:</t>
  </si>
  <si>
    <t xml:space="preserve">ООО «СМУ-17» </t>
  </si>
  <si>
    <t>Бурцев С.А.</t>
  </si>
  <si>
    <t>2</t>
  </si>
  <si>
    <t>Стройка:</t>
  </si>
  <si>
    <t>Объект:</t>
  </si>
  <si>
    <t>Стройка</t>
  </si>
  <si>
    <t>«Конноспортивный манеж» по адресу: г. Москва, проспект Мира, д. 119</t>
  </si>
  <si>
    <t>Объект</t>
  </si>
  <si>
    <t>АО «МСУ-1», 140005, Московская обл., г.Люберцы, ул. Комсомольская, дом.15А, эт.11, помещение 19, ИНН 7745000111, КПП 502701001</t>
  </si>
  <si>
    <t>«Комплексная реконструкция, реставрация и приспособление зданий бывшей городской усадьбы XVIII-XIX вв. (г. Москва, ул. Волхонка, д. 8, строения 7, 8, 9, 10, 11) под музейно-административные здания».</t>
  </si>
  <si>
    <t>выполнение дополнительного комплекса работ по монтажу, пуско-наладке и сдаче наружных сетей связи на объекте капитального строительства: «Комплексная реконструкция, реставрация и приспособление зданий бывшей городской усадьбы XVIII-XIX вв. (г. Москва, ул. Волхонка, д. 8, строения 7, 8, 9, 10, 11) под музейно-административные здания».</t>
  </si>
  <si>
    <t xml:space="preserve">Представитель по доверенности </t>
  </si>
  <si>
    <t>АО «МСУ – 1»</t>
  </si>
  <si>
    <t>Новиков А.В.</t>
  </si>
  <si>
    <t>Лот №1 - г. Москва, ул. Волхонка, д.8, строения 7, 8, 9, 10, 11 - Монтаж, пуско-наладка и сдача наружных сетей связи</t>
  </si>
  <si>
    <t>1</t>
  </si>
  <si>
    <t>Наружные сети связи 112/23-ВЛХ-Р-НСС</t>
  </si>
  <si>
    <t xml:space="preserve">Земляные работы </t>
  </si>
  <si>
    <t>3</t>
  </si>
  <si>
    <t>Разработка траншеи, котлована, с механизацией, ручная доработка в отвал</t>
  </si>
  <si>
    <t>4</t>
  </si>
  <si>
    <t xml:space="preserve">Песок (песчаное основание и засыпка с уплотнением) </t>
  </si>
  <si>
    <t>5</t>
  </si>
  <si>
    <t>Засыпка траншей  грунтом с послойным уплотнением Ку=0,95</t>
  </si>
  <si>
    <t>6</t>
  </si>
  <si>
    <t xml:space="preserve">Шурфление для геодезической съемки	</t>
  </si>
  <si>
    <t>7</t>
  </si>
  <si>
    <t>Телефонная канализация</t>
  </si>
  <si>
    <t>8</t>
  </si>
  <si>
    <t>Монтаж колодцев сетей связи</t>
  </si>
  <si>
    <t>9</t>
  </si>
  <si>
    <t>10</t>
  </si>
  <si>
    <t>Труба ПНД ПЭ100 SDR11 PN16 DN50х3мм</t>
  </si>
  <si>
    <t>11</t>
  </si>
  <si>
    <t>Кластер ССД-Пайп 110611-00010 OD50 мм тройной ( арт: 110611-00010)</t>
  </si>
  <si>
    <t>12</t>
  </si>
  <si>
    <t>Уплотнитель кабельных проходов термоусаживаемый УКПт 115/34 цвет черный ( арт: 120317-00425)</t>
  </si>
  <si>
    <t>шт (0.33 м)</t>
  </si>
  <si>
    <t>13</t>
  </si>
  <si>
    <t>Труба ввода ТВВК ССД 110608-00034 D=57мм ( арт: 110608-00034)</t>
  </si>
  <si>
    <t>14</t>
  </si>
  <si>
    <t>Каболка канализационная КБЮ1010 10-12мм 10кг</t>
  </si>
  <si>
    <t>15</t>
  </si>
  <si>
    <t xml:space="preserve">Гидроизоляция в два слоя	</t>
  </si>
  <si>
    <t>16</t>
  </si>
  <si>
    <t>17</t>
  </si>
  <si>
    <t>Протяжка кабельной трассы</t>
  </si>
  <si>
    <t>18</t>
  </si>
  <si>
    <t xml:space="preserve">Монтаж компрессионной муфты	</t>
  </si>
  <si>
    <t>19</t>
  </si>
  <si>
    <t xml:space="preserve">Монтаж соединительной муфты        </t>
  </si>
  <si>
    <t>20</t>
  </si>
  <si>
    <t>Кабельный ввод и кабелепровод в Волхонка 12</t>
  </si>
  <si>
    <t>21</t>
  </si>
  <si>
    <t xml:space="preserve">Монтаж кабелепровода кабельной канализации </t>
  </si>
  <si>
    <t>22</t>
  </si>
  <si>
    <t>Монтаж кабелепровода кабельной канализации</t>
  </si>
  <si>
    <t>23</t>
  </si>
  <si>
    <t>Гидроизоляция в два слоя</t>
  </si>
  <si>
    <t>24</t>
  </si>
  <si>
    <t>Монтаж металлического ящика</t>
  </si>
  <si>
    <t>25</t>
  </si>
  <si>
    <t xml:space="preserve">Алмазное бурение жезобетонных конструкций </t>
  </si>
  <si>
    <t>26</t>
  </si>
  <si>
    <t xml:space="preserve">Кабельный ввод и кабелепровод от здания ДРВЦ до камеры коллектора №11	</t>
  </si>
  <si>
    <t>27</t>
  </si>
  <si>
    <t xml:space="preserve">Монтаж кабелепровода кабельной канализации 	</t>
  </si>
  <si>
    <t>28</t>
  </si>
  <si>
    <t xml:space="preserve">Алмазное бурение жезобетонных конструкций 	</t>
  </si>
  <si>
    <t>29</t>
  </si>
  <si>
    <t xml:space="preserve">Материалы для строительно-монтажных работ кабельной канализации от здания Волхонка д.12 до здания ДРВЦ (8 вводов)        </t>
  </si>
  <si>
    <t>30</t>
  </si>
  <si>
    <t xml:space="preserve">Герметизация вводов в здания и сооружения	</t>
  </si>
  <si>
    <t>31</t>
  </si>
  <si>
    <t xml:space="preserve">Гидроизоляция вводов в здания и сооружения	</t>
  </si>
  <si>
    <t>32</t>
  </si>
  <si>
    <t>33</t>
  </si>
  <si>
    <t xml:space="preserve">Установка металлического лотка	</t>
  </si>
  <si>
    <t xml:space="preserve">м </t>
  </si>
  <si>
    <t>34</t>
  </si>
  <si>
    <t xml:space="preserve">Изготовление металлических конструкций	</t>
  </si>
  <si>
    <t>35</t>
  </si>
  <si>
    <t xml:space="preserve">Установка лотка в коллекторе 	</t>
  </si>
  <si>
    <t>36</t>
  </si>
  <si>
    <t>Кабель оптический ДПО-нг(А)-HF-08У(1х8)-1,5кН</t>
  </si>
  <si>
    <t>37</t>
  </si>
  <si>
    <t>Кабель ТППэп-НДГ 30х2х0,5-0,2кВ</t>
  </si>
  <si>
    <t>38</t>
  </si>
  <si>
    <t>Кабель ПРППМнг(A)-HF 2х1,2-0,38кВ</t>
  </si>
  <si>
    <t>39</t>
  </si>
  <si>
    <t>Труба для кабеля ПВХ 32мм, гофрированная, гибкая, с зондом</t>
  </si>
  <si>
    <t>40</t>
  </si>
  <si>
    <t>Держатель с защелкой IEK CF32 ( арт: CTA10D-CF32-K41-050)</t>
  </si>
  <si>
    <t>41</t>
  </si>
  <si>
    <t>Дюбель-гвоздь 6х30мм потайной бортик</t>
  </si>
  <si>
    <t>42</t>
  </si>
  <si>
    <t>Коробка разветвительная о/у,65х65х50мм IP54 4 входа</t>
  </si>
  <si>
    <t>43</t>
  </si>
  <si>
    <t>Пуско-наладочные работы и предоставление тех. отчётов включая:</t>
  </si>
  <si>
    <t>44</t>
  </si>
  <si>
    <t xml:space="preserve">Предпроектное обследование	</t>
  </si>
  <si>
    <t>45</t>
  </si>
  <si>
    <t xml:space="preserve">ППК-ЕЗ/Волх8/112/23_СП </t>
  </si>
  <si>
    <t xml:space="preserve">Пуско-наладочные работы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</si>
</sst>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3" formatCode="_-* #,##0.00_-;\-* #,##0.00_-;_-* &quot;-&quot;??_-;_-@_-"/>
    <numFmt numFmtId="164" formatCode="_-* #,##0.00\ _₽_-;\-* #,##0.00\ _₽_-;_-* &quot;-&quot;??\ _₽_-;_-@_-"/>
    <numFmt numFmtId="165" formatCode="_-* #\ ##0.00_р_._-;\-* #\ ##0.00_р_._-;_-* \-??_р_._-;_-@_-"/>
    <numFmt numFmtId="166" formatCode="#\ ##0.00"/>
    <numFmt numFmtId="167" formatCode="0.000"/>
    <numFmt numFmtId="168" formatCode="#\ ##0"/>
    <numFmt numFmtId="169" formatCode="* #\ ##0.00;* \-#\ ##0.00;* &quot;-&quot;??;@"/>
    <numFmt numFmtId="170" formatCode="_-* #,##0.00_р_._-;\-* #,##0.00_р_._-;_-* &quot;-&quot;??_р_._-;_-@_-"/>
    <numFmt numFmtId="171" formatCode="#,##0.00_ ;\-#,##0.00\ "/>
    <numFmt numFmtId="172" formatCode="* #,##0.00;* \-#,##0.00;* &quot;-&quot;??;@"/>
    <numFmt numFmtId="173" formatCode="#,##0.00#####"/>
    <numFmt numFmtId="174" formatCode="_-* #,##0.00_-;\-* #,##0.00_-;_-* &quot;-&quot;??_-;_-@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1"/>
      <name val="Times New Roman"/>
      <family val="1"/>
      <charset val="204"/>
    </font>
    <font>
      <b/>
      <sz val="11"/>
      <name val="Times New Roman"/>
      <family val="1"/>
      <charset val="204"/>
    </font>
    <font>
      <sz val="10"/>
      <name val="Arial"/>
      <family val="2"/>
      <charset val="204"/>
    </font>
    <font>
      <sz val="10"/>
      <name val="Arial Cyr"/>
      <charset val="204"/>
    </font>
    <font>
      <sz val="10"/>
      <name val="Times New Roman Cyr"/>
      <charset val="204"/>
    </font>
    <font>
      <sz val="11"/>
      <color rgb="FF000000"/>
      <name val="Calibri"/>
      <family val="2"/>
      <charset val="204"/>
    </font>
    <font>
      <b/>
      <sz val="10"/>
      <name val="Arial"/>
      <family val="2"/>
      <charset val="204"/>
    </font>
    <font>
      <sz val="8"/>
      <name val="Calibri"/>
      <family val="2"/>
      <scheme val="minor"/>
    </font>
    <font>
      <b/>
      <sz val="10"/>
      <name val="Times New Roman"/>
      <family val="1"/>
      <charset val="204"/>
    </font>
    <font>
      <sz val="10"/>
      <name val="Times New Roman"/>
      <family val="1"/>
      <charset val="204"/>
    </font>
    <font>
      <b/>
      <sz val="12"/>
      <name val="Times New Roman"/>
      <family val="1"/>
      <charset val="204"/>
    </font>
    <font>
      <sz val="12"/>
      <name val="Times New Roman"/>
      <family val="1"/>
      <charset val="204"/>
    </font>
    <font>
      <sz val="11"/>
      <color rgb="FF0000CC"/>
      <name val="Times New Roman"/>
      <family val="1"/>
      <charset val="204"/>
    </font>
    <font>
      <sz val="10"/>
      <color rgb="FFFF0000"/>
      <name val="Times New Roman"/>
      <family val="1"/>
      <charset val="204"/>
    </font>
    <font>
      <sz val="11"/>
      <color rgb="FF000000"/>
      <name val="Calibri"/>
      <family val="2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i/>
      <sz val="12"/>
      <color theme="1"/>
      <name val="Times New Roman"/>
      <family val="1"/>
      <charset val="204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FC000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4">
    <xf numFmtId="0" fontId="0" fillId="0" borderId="0"/>
    <xf numFmtId="164" fontId="3" fillId="0" borderId="0" applyFont="0" applyFill="0" applyBorder="0" applyAlignment="0" applyProtection="0"/>
    <xf numFmtId="0" fontId="2" fillId="0" borderId="0"/>
    <xf numFmtId="0" fontId="6" fillId="0" borderId="0"/>
    <xf numFmtId="0" fontId="6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7" fillId="0" borderId="0"/>
    <xf numFmtId="0" fontId="2" fillId="0" borderId="0"/>
    <xf numFmtId="0" fontId="2" fillId="0" borderId="0"/>
    <xf numFmtId="0" fontId="8" fillId="0" borderId="0"/>
    <xf numFmtId="170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6" fillId="0" borderId="0"/>
    <xf numFmtId="0" fontId="9" fillId="0" borderId="0"/>
    <xf numFmtId="172" fontId="10" fillId="0" borderId="0" applyFont="0" applyFill="0" applyBorder="0" applyAlignment="0" applyProtection="0"/>
    <xf numFmtId="0" fontId="1" fillId="0" borderId="0"/>
    <xf numFmtId="43" fontId="3" fillId="0" borderId="0" applyFont="0" applyFill="0" applyBorder="0" applyAlignment="0" applyProtection="0"/>
    <xf numFmtId="0" fontId="18" fillId="0" borderId="0"/>
    <xf numFmtId="0" fontId="7" fillId="0" borderId="0"/>
    <xf numFmtId="9" fontId="18" fillId="0" borderId="0" applyBorder="0" applyProtection="0"/>
    <xf numFmtId="43" fontId="18" fillId="0" borderId="0" applyFont="0" applyFill="0" applyBorder="0" applyAlignment="0" applyProtection="0"/>
  </cellStyleXfs>
  <cellXfs count="179">
    <xf numFmtId="0" fontId="0" fillId="0" borderId="0" xfId="0"/>
    <xf numFmtId="0" fontId="4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/>
    </xf>
    <xf numFmtId="164" fontId="4" fillId="0" borderId="0" xfId="1" applyFont="1" applyFill="1" applyAlignment="1">
      <alignment vertical="center"/>
    </xf>
    <xf numFmtId="166" fontId="4" fillId="0" borderId="0" xfId="0" applyNumberFormat="1" applyFont="1" applyAlignment="1">
      <alignment vertical="center"/>
    </xf>
    <xf numFmtId="167" fontId="4" fillId="0" borderId="0" xfId="0" applyNumberFormat="1" applyFont="1" applyAlignment="1">
      <alignment vertical="center"/>
    </xf>
    <xf numFmtId="0" fontId="4" fillId="0" borderId="0" xfId="0" applyFont="1" applyAlignment="1">
      <alignment horizontal="right" vertical="center"/>
    </xf>
    <xf numFmtId="0" fontId="5" fillId="0" borderId="0" xfId="0" applyFont="1" applyAlignment="1">
      <alignment vertical="center"/>
    </xf>
    <xf numFmtId="49" fontId="5" fillId="0" borderId="0" xfId="0" applyNumberFormat="1" applyFont="1" applyAlignment="1" applyProtection="1">
      <alignment vertical="center" wrapText="1" shrinkToFit="1"/>
      <protection hidden="1"/>
    </xf>
    <xf numFmtId="164" fontId="4" fillId="0" borderId="0" xfId="1" applyFont="1" applyFill="1" applyAlignment="1">
      <alignment horizontal="right" vertical="center"/>
    </xf>
    <xf numFmtId="0" fontId="5" fillId="0" borderId="0" xfId="0" applyFont="1" applyAlignment="1">
      <alignment horizontal="center" vertical="center" wrapText="1"/>
    </xf>
    <xf numFmtId="49" fontId="5" fillId="0" borderId="0" xfId="0" applyNumberFormat="1" applyFont="1" applyAlignment="1">
      <alignment horizontal="left" vertical="center"/>
    </xf>
    <xf numFmtId="164" fontId="5" fillId="0" borderId="0" xfId="1" applyFont="1" applyFill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169" fontId="5" fillId="0" borderId="1" xfId="0" applyNumberFormat="1" applyFont="1" applyBorder="1" applyAlignment="1">
      <alignment horizontal="center" vertical="center" wrapText="1" shrinkToFit="1"/>
    </xf>
    <xf numFmtId="169" fontId="4" fillId="0" borderId="1" xfId="0" applyNumberFormat="1" applyFont="1" applyBorder="1" applyAlignment="1">
      <alignment horizontal="center" vertical="center" wrapText="1" shrinkToFit="1"/>
    </xf>
    <xf numFmtId="171" fontId="5" fillId="0" borderId="1" xfId="1" applyNumberFormat="1" applyFont="1" applyFill="1" applyBorder="1" applyAlignment="1" applyProtection="1">
      <alignment vertical="center" wrapText="1" shrinkToFit="1"/>
    </xf>
    <xf numFmtId="171" fontId="4" fillId="0" borderId="1" xfId="1" applyNumberFormat="1" applyFont="1" applyFill="1" applyBorder="1" applyAlignment="1" applyProtection="1">
      <alignment vertical="center" wrapText="1" shrinkToFit="1"/>
    </xf>
    <xf numFmtId="166" fontId="4" fillId="0" borderId="0" xfId="0" applyNumberFormat="1" applyFont="1" applyAlignment="1">
      <alignment horizontal="center" vertical="center"/>
    </xf>
    <xf numFmtId="164" fontId="5" fillId="0" borderId="0" xfId="1" applyFont="1" applyFill="1" applyAlignment="1">
      <alignment vertical="center"/>
    </xf>
    <xf numFmtId="0" fontId="13" fillId="0" borderId="0" xfId="0" applyFont="1" applyAlignment="1">
      <alignment vertical="center"/>
    </xf>
    <xf numFmtId="164" fontId="13" fillId="0" borderId="0" xfId="1" applyFont="1" applyFill="1" applyAlignment="1">
      <alignment vertical="center"/>
    </xf>
    <xf numFmtId="164" fontId="13" fillId="0" borderId="0" xfId="0" applyNumberFormat="1" applyFont="1" applyAlignment="1">
      <alignment vertical="center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left" vertical="center"/>
    </xf>
    <xf numFmtId="14" fontId="13" fillId="0" borderId="0" xfId="0" applyNumberFormat="1" applyFont="1" applyAlignment="1">
      <alignment vertical="center"/>
    </xf>
    <xf numFmtId="165" fontId="5" fillId="0" borderId="0" xfId="0" applyNumberFormat="1" applyFont="1" applyAlignment="1">
      <alignment vertical="center"/>
    </xf>
    <xf numFmtId="165" fontId="4" fillId="0" borderId="1" xfId="0" applyNumberFormat="1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0" xfId="0" applyFont="1" applyAlignment="1">
      <alignment vertical="top"/>
    </xf>
    <xf numFmtId="0" fontId="4" fillId="0" borderId="0" xfId="0" applyFont="1" applyAlignment="1">
      <alignment vertical="center" shrinkToFit="1"/>
    </xf>
    <xf numFmtId="1" fontId="4" fillId="0" borderId="1" xfId="0" applyNumberFormat="1" applyFont="1" applyBorder="1" applyAlignment="1">
      <alignment horizontal="center" vertical="center" wrapText="1"/>
    </xf>
    <xf numFmtId="1" fontId="4" fillId="0" borderId="1" xfId="0" applyNumberFormat="1" applyFont="1" applyBorder="1" applyAlignment="1">
      <alignment horizontal="center" vertical="center"/>
    </xf>
    <xf numFmtId="4" fontId="4" fillId="0" borderId="0" xfId="0" applyNumberFormat="1" applyFont="1" applyAlignment="1">
      <alignment horizontal="center" vertical="center"/>
    </xf>
    <xf numFmtId="164" fontId="16" fillId="0" borderId="0" xfId="1" applyFont="1" applyFill="1" applyAlignment="1">
      <alignment vertical="center"/>
    </xf>
    <xf numFmtId="0" fontId="15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5" fillId="0" borderId="0" xfId="0" applyFont="1" applyAlignment="1">
      <alignment horizontal="center" vertical="center"/>
    </xf>
    <xf numFmtId="164" fontId="15" fillId="0" borderId="0" xfId="1" applyFont="1" applyFill="1" applyAlignment="1">
      <alignment vertical="center"/>
    </xf>
    <xf numFmtId="49" fontId="14" fillId="0" borderId="0" xfId="0" applyNumberFormat="1" applyFont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 wrapText="1" shrinkToFit="1"/>
    </xf>
    <xf numFmtId="0" fontId="4" fillId="0" borderId="1" xfId="0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/>
    </xf>
    <xf numFmtId="164" fontId="17" fillId="0" borderId="0" xfId="0" applyNumberFormat="1" applyFont="1" applyAlignment="1">
      <alignment vertical="center" wrapText="1"/>
    </xf>
    <xf numFmtId="0" fontId="4" fillId="0" borderId="2" xfId="0" applyFont="1" applyBorder="1" applyAlignment="1">
      <alignment vertical="center"/>
    </xf>
    <xf numFmtId="166" fontId="5" fillId="0" borderId="0" xfId="0" applyNumberFormat="1" applyFont="1" applyAlignment="1">
      <alignment horizontal="center"/>
    </xf>
    <xf numFmtId="0" fontId="12" fillId="0" borderId="0" xfId="0" applyFont="1" applyAlignment="1">
      <alignment vertical="center"/>
    </xf>
    <xf numFmtId="0" fontId="12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 wrapText="1"/>
    </xf>
    <xf numFmtId="165" fontId="5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164" fontId="4" fillId="0" borderId="0" xfId="0" applyNumberFormat="1" applyFont="1" applyAlignment="1">
      <alignment vertical="center"/>
    </xf>
    <xf numFmtId="14" fontId="4" fillId="2" borderId="1" xfId="0" applyNumberFormat="1" applyFont="1" applyFill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/>
    </xf>
    <xf numFmtId="0" fontId="4" fillId="0" borderId="0" xfId="0" applyFont="1" applyFill="1" applyAlignment="1">
      <alignment horizontal="left" wrapText="1"/>
    </xf>
    <xf numFmtId="0" fontId="5" fillId="0" borderId="0" xfId="0" applyFont="1" applyFill="1" applyAlignment="1">
      <alignment horizontal="left" wrapText="1"/>
    </xf>
    <xf numFmtId="4" fontId="4" fillId="0" borderId="0" xfId="0" applyNumberFormat="1" applyFont="1" applyAlignment="1">
      <alignment vertical="center"/>
    </xf>
    <xf numFmtId="164" fontId="4" fillId="0" borderId="0" xfId="1" applyFont="1" applyAlignment="1">
      <alignment vertical="center"/>
    </xf>
    <xf numFmtId="0" fontId="13" fillId="0" borderId="0" xfId="0" applyFont="1" applyBorder="1" applyAlignment="1">
      <alignment horizontal="center" vertical="center" wrapText="1"/>
    </xf>
    <xf numFmtId="14" fontId="4" fillId="2" borderId="1" xfId="0" applyNumberFormat="1" applyFont="1" applyFill="1" applyBorder="1" applyAlignment="1">
      <alignment horizontal="center" vertical="center"/>
    </xf>
    <xf numFmtId="14" fontId="4" fillId="2" borderId="1" xfId="1" applyNumberFormat="1" applyFont="1" applyFill="1" applyBorder="1" applyAlignment="1">
      <alignment horizontal="center" vertical="center"/>
    </xf>
    <xf numFmtId="0" fontId="19" fillId="0" borderId="1" xfId="0" applyFont="1" applyBorder="1" applyAlignment="1">
      <alignment horizontal="center" vertical="center" wrapText="1"/>
    </xf>
    <xf numFmtId="164" fontId="19" fillId="0" borderId="1" xfId="1" applyFont="1" applyFill="1" applyBorder="1" applyAlignment="1">
      <alignment horizontal="center" vertical="center" wrapText="1"/>
    </xf>
    <xf numFmtId="49" fontId="19" fillId="0" borderId="1" xfId="0" applyNumberFormat="1" applyFont="1" applyBorder="1" applyAlignment="1">
      <alignment horizontal="center" vertical="center" wrapText="1"/>
    </xf>
    <xf numFmtId="168" fontId="19" fillId="0" borderId="1" xfId="0" applyNumberFormat="1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/>
    </xf>
    <xf numFmtId="164" fontId="20" fillId="0" borderId="1" xfId="0" applyNumberFormat="1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164" fontId="20" fillId="2" borderId="1" xfId="0" applyNumberFormat="1" applyFont="1" applyFill="1" applyBorder="1" applyAlignment="1">
      <alignment vertical="center"/>
    </xf>
    <xf numFmtId="164" fontId="20" fillId="0" borderId="1" xfId="0" applyNumberFormat="1" applyFont="1" applyBorder="1" applyAlignment="1">
      <alignment vertical="center"/>
    </xf>
    <xf numFmtId="164" fontId="20" fillId="0" borderId="1" xfId="0" applyNumberFormat="1" applyFont="1" applyBorder="1" applyAlignment="1">
      <alignment horizontal="right" vertical="center"/>
    </xf>
    <xf numFmtId="171" fontId="19" fillId="0" borderId="1" xfId="1" applyNumberFormat="1" applyFont="1" applyFill="1" applyBorder="1" applyAlignment="1" applyProtection="1">
      <alignment horizontal="right" vertical="center" wrapText="1" shrinkToFit="1"/>
    </xf>
    <xf numFmtId="164" fontId="20" fillId="0" borderId="1" xfId="1" applyFont="1" applyFill="1" applyBorder="1" applyAlignment="1">
      <alignment vertical="center"/>
    </xf>
    <xf numFmtId="0" fontId="20" fillId="0" borderId="1" xfId="0" applyFont="1" applyBorder="1" applyAlignment="1">
      <alignment vertical="center"/>
    </xf>
    <xf numFmtId="171" fontId="20" fillId="0" borderId="1" xfId="1" applyNumberFormat="1" applyFont="1" applyFill="1" applyBorder="1" applyAlignment="1" applyProtection="1">
      <alignment horizontal="right" vertical="center" wrapText="1" shrinkToFit="1"/>
    </xf>
    <xf numFmtId="0" fontId="20" fillId="0" borderId="0" xfId="0" applyFont="1" applyAlignment="1">
      <alignment vertical="center"/>
    </xf>
    <xf numFmtId="164" fontId="20" fillId="0" borderId="0" xfId="0" applyNumberFormat="1" applyFont="1" applyAlignment="1">
      <alignment vertical="center"/>
    </xf>
    <xf numFmtId="0" fontId="20" fillId="0" borderId="0" xfId="0" applyFont="1" applyAlignment="1">
      <alignment horizontal="center" vertical="center"/>
    </xf>
    <xf numFmtId="164" fontId="20" fillId="0" borderId="0" xfId="1" applyFont="1" applyFill="1" applyAlignment="1">
      <alignment vertical="center"/>
    </xf>
    <xf numFmtId="0" fontId="19" fillId="0" borderId="0" xfId="0" applyFont="1" applyAlignment="1">
      <alignment vertical="center"/>
    </xf>
    <xf numFmtId="0" fontId="19" fillId="0" borderId="2" xfId="0" applyFont="1" applyBorder="1" applyAlignment="1">
      <alignment vertical="center"/>
    </xf>
    <xf numFmtId="0" fontId="20" fillId="0" borderId="2" xfId="0" applyFont="1" applyBorder="1" applyAlignment="1">
      <alignment vertical="center"/>
    </xf>
    <xf numFmtId="49" fontId="19" fillId="0" borderId="0" xfId="0" applyNumberFormat="1" applyFont="1" applyAlignment="1">
      <alignment horizontal="left" vertical="center"/>
    </xf>
    <xf numFmtId="0" fontId="20" fillId="0" borderId="0" xfId="0" applyFont="1" applyAlignment="1">
      <alignment vertical="center" wrapText="1"/>
    </xf>
    <xf numFmtId="0" fontId="21" fillId="0" borderId="0" xfId="0" applyFont="1" applyAlignment="1">
      <alignment horizontal="justify" vertical="center" wrapText="1"/>
    </xf>
    <xf numFmtId="49" fontId="21" fillId="0" borderId="16" xfId="0" applyNumberFormat="1" applyFont="1" applyBorder="1" applyAlignment="1">
      <alignment horizontal="center" vertical="center" wrapText="1"/>
    </xf>
    <xf numFmtId="0" fontId="21" fillId="0" borderId="16" xfId="0" applyFont="1" applyBorder="1" applyAlignment="1">
      <alignment horizontal="left" vertical="center" wrapText="1"/>
    </xf>
    <xf numFmtId="0" fontId="21" fillId="0" borderId="16" xfId="0" applyFont="1" applyBorder="1" applyAlignment="1">
      <alignment horizontal="center" vertical="center" wrapText="1"/>
    </xf>
    <xf numFmtId="173" fontId="21" fillId="0" borderId="16" xfId="0" applyNumberFormat="1" applyFont="1" applyBorder="1" applyAlignment="1">
      <alignment horizontal="center" vertical="center" wrapText="1"/>
    </xf>
    <xf numFmtId="4" fontId="21" fillId="0" borderId="16" xfId="0" applyNumberFormat="1" applyFont="1" applyBorder="1" applyAlignment="1">
      <alignment horizontal="center" vertical="center" wrapText="1"/>
    </xf>
    <xf numFmtId="4" fontId="21" fillId="0" borderId="16" xfId="0" applyNumberFormat="1" applyFont="1" applyBorder="1" applyAlignment="1">
      <alignment horizontal="right" vertical="center" wrapText="1"/>
    </xf>
    <xf numFmtId="49" fontId="22" fillId="0" borderId="16" xfId="0" applyNumberFormat="1" applyFont="1" applyBorder="1" applyAlignment="1">
      <alignment horizontal="center" vertical="center" wrapText="1"/>
    </xf>
    <xf numFmtId="0" fontId="22" fillId="0" borderId="16" xfId="0" applyFont="1" applyBorder="1" applyAlignment="1">
      <alignment horizontal="center" vertical="center" wrapText="1"/>
    </xf>
    <xf numFmtId="173" fontId="22" fillId="0" borderId="16" xfId="0" applyNumberFormat="1" applyFont="1" applyBorder="1" applyAlignment="1">
      <alignment horizontal="center" vertical="center" wrapText="1"/>
    </xf>
    <xf numFmtId="4" fontId="22" fillId="0" borderId="16" xfId="0" applyNumberFormat="1" applyFont="1" applyBorder="1" applyAlignment="1">
      <alignment horizontal="center" vertical="center" wrapText="1"/>
    </xf>
    <xf numFmtId="174" fontId="22" fillId="0" borderId="16" xfId="0" applyNumberFormat="1" applyFont="1" applyBorder="1" applyAlignment="1">
      <alignment horizontal="right" vertical="center"/>
    </xf>
    <xf numFmtId="174" fontId="22" fillId="0" borderId="16" xfId="0" applyNumberFormat="1" applyFont="1" applyBorder="1" applyAlignment="1">
      <alignment horizontal="right" vertical="center" wrapText="1"/>
    </xf>
    <xf numFmtId="49" fontId="22" fillId="3" borderId="16" xfId="0" applyNumberFormat="1" applyFont="1" applyFill="1" applyBorder="1" applyAlignment="1">
      <alignment horizontal="center" vertical="center" wrapText="1"/>
    </xf>
    <xf numFmtId="0" fontId="22" fillId="3" borderId="16" xfId="0" applyFont="1" applyFill="1" applyBorder="1" applyAlignment="1">
      <alignment horizontal="left" vertical="center" wrapText="1"/>
    </xf>
    <xf numFmtId="0" fontId="22" fillId="3" borderId="16" xfId="0" applyFont="1" applyFill="1" applyBorder="1" applyAlignment="1">
      <alignment horizontal="center" vertical="center" wrapText="1"/>
    </xf>
    <xf numFmtId="173" fontId="22" fillId="3" borderId="16" xfId="0" applyNumberFormat="1" applyFont="1" applyFill="1" applyBorder="1" applyAlignment="1">
      <alignment horizontal="center" vertical="center" wrapText="1"/>
    </xf>
    <xf numFmtId="4" fontId="22" fillId="3" borderId="16" xfId="0" applyNumberFormat="1" applyFont="1" applyFill="1" applyBorder="1" applyAlignment="1">
      <alignment horizontal="center" vertical="center" wrapText="1"/>
    </xf>
    <xf numFmtId="174" fontId="22" fillId="3" borderId="16" xfId="0" applyNumberFormat="1" applyFont="1" applyFill="1" applyBorder="1" applyAlignment="1">
      <alignment horizontal="right" vertical="center" wrapText="1"/>
    </xf>
    <xf numFmtId="0" fontId="22" fillId="0" borderId="16" xfId="0" applyFont="1" applyBorder="1" applyAlignment="1">
      <alignment horizontal="left" vertical="center" wrapText="1"/>
    </xf>
    <xf numFmtId="0" fontId="23" fillId="0" borderId="16" xfId="0" applyFont="1" applyBorder="1" applyAlignment="1">
      <alignment horizontal="left" vertical="center" wrapText="1"/>
    </xf>
    <xf numFmtId="0" fontId="23" fillId="0" borderId="16" xfId="0" applyFont="1" applyBorder="1" applyAlignment="1">
      <alignment horizontal="center" vertical="center" wrapText="1"/>
    </xf>
    <xf numFmtId="173" fontId="23" fillId="0" borderId="16" xfId="0" applyNumberFormat="1" applyFont="1" applyBorder="1" applyAlignment="1">
      <alignment horizontal="center" vertical="center" wrapText="1"/>
    </xf>
    <xf numFmtId="4" fontId="23" fillId="0" borderId="16" xfId="0" applyNumberFormat="1" applyFont="1" applyBorder="1" applyAlignment="1">
      <alignment horizontal="center" vertical="center" wrapText="1"/>
    </xf>
    <xf numFmtId="0" fontId="21" fillId="3" borderId="16" xfId="0" applyFont="1" applyFill="1" applyBorder="1" applyAlignment="1">
      <alignment horizontal="left" vertical="center" wrapText="1"/>
    </xf>
    <xf numFmtId="0" fontId="21" fillId="3" borderId="16" xfId="0" applyFont="1" applyFill="1" applyBorder="1" applyAlignment="1">
      <alignment horizontal="center" vertical="center" wrapText="1"/>
    </xf>
    <xf numFmtId="4" fontId="22" fillId="3" borderId="16" xfId="0" applyNumberFormat="1" applyFont="1" applyFill="1" applyBorder="1" applyAlignment="1">
      <alignment horizontal="right" vertical="center" wrapText="1"/>
    </xf>
    <xf numFmtId="0" fontId="22" fillId="3" borderId="17" xfId="0" applyFont="1" applyFill="1" applyBorder="1" applyAlignment="1">
      <alignment horizontal="left" vertical="center" wrapText="1"/>
    </xf>
    <xf numFmtId="0" fontId="21" fillId="3" borderId="17" xfId="0" applyFont="1" applyFill="1" applyBorder="1" applyAlignment="1">
      <alignment horizontal="left" vertical="center" wrapText="1"/>
    </xf>
    <xf numFmtId="173" fontId="21" fillId="3" borderId="16" xfId="0" applyNumberFormat="1" applyFont="1" applyFill="1" applyBorder="1" applyAlignment="1">
      <alignment horizontal="center" vertical="center" wrapText="1"/>
    </xf>
    <xf numFmtId="4" fontId="21" fillId="3" borderId="16" xfId="0" applyNumberFormat="1" applyFont="1" applyFill="1" applyBorder="1" applyAlignment="1">
      <alignment horizontal="center" vertical="center" wrapText="1"/>
    </xf>
    <xf numFmtId="4" fontId="21" fillId="3" borderId="16" xfId="0" applyNumberFormat="1" applyFont="1" applyFill="1" applyBorder="1" applyAlignment="1">
      <alignment horizontal="right" vertical="center" wrapText="1"/>
    </xf>
    <xf numFmtId="164" fontId="20" fillId="4" borderId="1" xfId="0" applyNumberFormat="1" applyFont="1" applyFill="1" applyBorder="1" applyAlignment="1">
      <alignment horizontal="right" vertical="center"/>
    </xf>
    <xf numFmtId="49" fontId="13" fillId="0" borderId="1" xfId="0" applyNumberFormat="1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0" fillId="0" borderId="2" xfId="0" applyFont="1" applyBorder="1" applyAlignment="1">
      <alignment horizontal="left" vertical="center" wrapText="1"/>
    </xf>
    <xf numFmtId="49" fontId="4" fillId="0" borderId="1" xfId="0" applyNumberFormat="1" applyFont="1" applyBorder="1" applyAlignment="1">
      <alignment horizontal="center"/>
    </xf>
    <xf numFmtId="0" fontId="4" fillId="0" borderId="0" xfId="0" applyFont="1" applyAlignment="1">
      <alignment horizontal="center" vertical="center"/>
    </xf>
    <xf numFmtId="0" fontId="20" fillId="0" borderId="0" xfId="0" applyFont="1" applyAlignment="1">
      <alignment horizontal="left" vertical="center"/>
    </xf>
    <xf numFmtId="0" fontId="4" fillId="0" borderId="6" xfId="0" applyFont="1" applyBorder="1" applyAlignment="1">
      <alignment horizontal="center" vertical="center"/>
    </xf>
    <xf numFmtId="0" fontId="19" fillId="0" borderId="2" xfId="0" applyFont="1" applyBorder="1" applyAlignment="1">
      <alignment horizontal="left" vertical="center" wrapText="1"/>
    </xf>
    <xf numFmtId="49" fontId="4" fillId="0" borderId="1" xfId="0" applyNumberFormat="1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 wrapText="1"/>
    </xf>
    <xf numFmtId="164" fontId="4" fillId="0" borderId="1" xfId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66" fontId="4" fillId="0" borderId="0" xfId="0" applyNumberFormat="1" applyFont="1" applyAlignment="1">
      <alignment horizontal="center" vertical="center"/>
    </xf>
    <xf numFmtId="166" fontId="4" fillId="0" borderId="11" xfId="0" applyNumberFormat="1" applyFont="1" applyBorder="1" applyAlignment="1">
      <alignment horizontal="center" vertical="center"/>
    </xf>
    <xf numFmtId="0" fontId="20" fillId="0" borderId="2" xfId="0" applyFont="1" applyBorder="1" applyAlignment="1">
      <alignment horizontal="center" vertical="center"/>
    </xf>
    <xf numFmtId="0" fontId="20" fillId="0" borderId="3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 wrapText="1"/>
    </xf>
    <xf numFmtId="0" fontId="20" fillId="0" borderId="1" xfId="0" applyFont="1" applyBorder="1" applyAlignment="1">
      <alignment horizontal="right" vertical="center"/>
    </xf>
    <xf numFmtId="49" fontId="19" fillId="0" borderId="1" xfId="0" applyNumberFormat="1" applyFont="1" applyBorder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0" fontId="19" fillId="0" borderId="8" xfId="0" applyFont="1" applyBorder="1" applyAlignment="1">
      <alignment horizontal="center" vertical="center" wrapText="1"/>
    </xf>
    <xf numFmtId="0" fontId="20" fillId="2" borderId="9" xfId="0" applyFont="1" applyFill="1" applyBorder="1" applyAlignment="1">
      <alignment horizontal="right" vertical="center"/>
    </xf>
    <xf numFmtId="0" fontId="20" fillId="2" borderId="12" xfId="0" applyFont="1" applyFill="1" applyBorder="1" applyAlignment="1">
      <alignment horizontal="right" vertical="center"/>
    </xf>
    <xf numFmtId="0" fontId="20" fillId="2" borderId="10" xfId="0" applyFont="1" applyFill="1" applyBorder="1" applyAlignment="1">
      <alignment horizontal="right" vertical="center"/>
    </xf>
    <xf numFmtId="0" fontId="19" fillId="2" borderId="9" xfId="0" applyFont="1" applyFill="1" applyBorder="1" applyAlignment="1">
      <alignment horizontal="right" vertical="center"/>
    </xf>
    <xf numFmtId="0" fontId="19" fillId="2" borderId="12" xfId="0" applyFont="1" applyFill="1" applyBorder="1" applyAlignment="1">
      <alignment horizontal="right" vertical="center"/>
    </xf>
    <xf numFmtId="0" fontId="19" fillId="2" borderId="10" xfId="0" applyFont="1" applyFill="1" applyBorder="1" applyAlignment="1">
      <alignment horizontal="right" vertical="center"/>
    </xf>
    <xf numFmtId="0" fontId="4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left" vertical="center" wrapText="1"/>
    </xf>
    <xf numFmtId="0" fontId="13" fillId="0" borderId="3" xfId="0" applyFont="1" applyBorder="1" applyAlignment="1">
      <alignment horizontal="center" vertical="center" wrapText="1"/>
    </xf>
    <xf numFmtId="0" fontId="5" fillId="0" borderId="0" xfId="0" applyFont="1" applyBorder="1" applyAlignment="1">
      <alignment horizontal="left" vertical="center" wrapText="1"/>
    </xf>
    <xf numFmtId="49" fontId="4" fillId="0" borderId="13" xfId="0" applyNumberFormat="1" applyFont="1" applyBorder="1" applyAlignment="1">
      <alignment horizontal="center" vertical="center"/>
    </xf>
    <xf numFmtId="49" fontId="4" fillId="0" borderId="14" xfId="0" applyNumberFormat="1" applyFont="1" applyBorder="1" applyAlignment="1">
      <alignment horizontal="center" vertical="center"/>
    </xf>
    <xf numFmtId="49" fontId="4" fillId="0" borderId="4" xfId="0" applyNumberFormat="1" applyFont="1" applyBorder="1" applyAlignment="1">
      <alignment horizontal="center" vertical="center"/>
    </xf>
    <xf numFmtId="49" fontId="4" fillId="0" borderId="5" xfId="0" applyNumberFormat="1" applyFont="1" applyBorder="1" applyAlignment="1">
      <alignment horizontal="center" vertical="center"/>
    </xf>
    <xf numFmtId="49" fontId="4" fillId="0" borderId="15" xfId="0" applyNumberFormat="1" applyFont="1" applyBorder="1" applyAlignment="1">
      <alignment horizontal="center" vertical="center"/>
    </xf>
    <xf numFmtId="49" fontId="4" fillId="0" borderId="11" xfId="0" applyNumberFormat="1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49" fontId="4" fillId="0" borderId="9" xfId="0" applyNumberFormat="1" applyFont="1" applyBorder="1" applyAlignment="1">
      <alignment horizontal="center" vertical="center"/>
    </xf>
    <xf numFmtId="49" fontId="4" fillId="0" borderId="10" xfId="0" applyNumberFormat="1" applyFont="1" applyBorder="1" applyAlignment="1">
      <alignment horizontal="center" vertical="center"/>
    </xf>
    <xf numFmtId="14" fontId="4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right" vertical="center" wrapText="1"/>
    </xf>
    <xf numFmtId="0" fontId="4" fillId="0" borderId="2" xfId="0" applyFont="1" applyBorder="1" applyAlignment="1">
      <alignment horizontal="center" vertical="center"/>
    </xf>
    <xf numFmtId="0" fontId="4" fillId="2" borderId="9" xfId="0" applyFont="1" applyFill="1" applyBorder="1" applyAlignment="1">
      <alignment horizontal="right" vertical="center" wrapText="1"/>
    </xf>
    <xf numFmtId="0" fontId="4" fillId="2" borderId="12" xfId="0" applyFont="1" applyFill="1" applyBorder="1" applyAlignment="1">
      <alignment horizontal="right" vertical="center" wrapText="1"/>
    </xf>
    <xf numFmtId="0" fontId="4" fillId="2" borderId="10" xfId="0" applyFont="1" applyFill="1" applyBorder="1" applyAlignment="1">
      <alignment horizontal="right" vertical="center" wrapText="1"/>
    </xf>
    <xf numFmtId="0" fontId="5" fillId="0" borderId="1" xfId="0" applyFont="1" applyBorder="1" applyAlignment="1">
      <alignment horizontal="right" vertical="center" wrapText="1"/>
    </xf>
    <xf numFmtId="0" fontId="4" fillId="0" borderId="1" xfId="0" applyFont="1" applyBorder="1" applyAlignment="1">
      <alignment horizontal="right" vertical="center" wrapText="1"/>
    </xf>
    <xf numFmtId="169" fontId="5" fillId="0" borderId="1" xfId="0" applyNumberFormat="1" applyFont="1" applyBorder="1" applyAlignment="1">
      <alignment horizontal="left" vertical="center" wrapText="1" shrinkToFit="1"/>
    </xf>
    <xf numFmtId="169" fontId="4" fillId="0" borderId="1" xfId="0" applyNumberFormat="1" applyFont="1" applyBorder="1" applyAlignment="1">
      <alignment horizontal="left" vertical="center" wrapText="1" shrinkToFit="1"/>
    </xf>
    <xf numFmtId="0" fontId="4" fillId="0" borderId="1" xfId="0" applyFont="1" applyBorder="1" applyAlignment="1">
      <alignment horizontal="center" vertical="center" wrapText="1" shrinkToFit="1"/>
    </xf>
  </cellXfs>
  <cellStyles count="24">
    <cellStyle name="Обычный" xfId="0" builtinId="0"/>
    <cellStyle name="Обычный 2" xfId="3" xr:uid="{00000000-0005-0000-0000-000001000000}"/>
    <cellStyle name="Обычный 2 2" xfId="7" xr:uid="{00000000-0005-0000-0000-000002000000}"/>
    <cellStyle name="Обычный 2 2 2 2 2 2 2" xfId="15" xr:uid="{00000000-0005-0000-0000-000003000000}"/>
    <cellStyle name="Обычный 2 3" xfId="10" xr:uid="{00000000-0005-0000-0000-000004000000}"/>
    <cellStyle name="Обычный 2 4" xfId="16" xr:uid="{00000000-0005-0000-0000-000005000000}"/>
    <cellStyle name="Обычный 2 4 2" xfId="21" xr:uid="{00000000-0005-0000-0000-000006000000}"/>
    <cellStyle name="Обычный 3" xfId="12" xr:uid="{00000000-0005-0000-0000-000007000000}"/>
    <cellStyle name="Обычный 4" xfId="4" xr:uid="{00000000-0005-0000-0000-000008000000}"/>
    <cellStyle name="Обычный 5" xfId="2" xr:uid="{00000000-0005-0000-0000-000009000000}"/>
    <cellStyle name="Обычный 6" xfId="20" xr:uid="{00000000-0005-0000-0000-00000A000000}"/>
    <cellStyle name="Обычный 8" xfId="9" xr:uid="{00000000-0005-0000-0000-00000B000000}"/>
    <cellStyle name="Обычный 8 2" xfId="18" xr:uid="{00000000-0005-0000-0000-00000C000000}"/>
    <cellStyle name="Обычный 9 2" xfId="8" xr:uid="{00000000-0005-0000-0000-00000D000000}"/>
    <cellStyle name="Процентный 2" xfId="13" xr:uid="{00000000-0005-0000-0000-00000E000000}"/>
    <cellStyle name="Процентный 3" xfId="22" xr:uid="{00000000-0005-0000-0000-00000F000000}"/>
    <cellStyle name="Финансовый" xfId="1" builtinId="3"/>
    <cellStyle name="Финансовый 2" xfId="6" xr:uid="{00000000-0005-0000-0000-000011000000}"/>
    <cellStyle name="Финансовый 2 2" xfId="17" xr:uid="{00000000-0005-0000-0000-000012000000}"/>
    <cellStyle name="Финансовый 3" xfId="11" xr:uid="{00000000-0005-0000-0000-000013000000}"/>
    <cellStyle name="Финансовый 4" xfId="14" xr:uid="{00000000-0005-0000-0000-000014000000}"/>
    <cellStyle name="Финансовый 5" xfId="5" xr:uid="{00000000-0005-0000-0000-000015000000}"/>
    <cellStyle name="Финансовый 6" xfId="19" xr:uid="{00000000-0005-0000-0000-000016000000}"/>
    <cellStyle name="Финансовый 7" xfId="23" xr:uid="{00000000-0005-0000-0000-000017000000}"/>
  </cellStyles>
  <dxfs count="0"/>
  <tableStyles count="0" defaultTableStyle="TableStyleMedium2" defaultPivotStyle="PivotStyleLight16"/>
  <colors>
    <mruColors>
      <color rgb="FFFFCCFF"/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icompany.ru\Users\User\Desktop\Users\&#1056;&#1091;&#1089;&#1090;&#1080;&#1082;\AppData\Local\Temp\Temp1_Attachments_teh-stroy.pto@mail.ru_2015-11-06_17-47-34.zip\Users\user\Downloads\!!!\Kronos\&#1062;&#1077;&#1085;&#1099;\&#1045;&#1076;&#1080;&#1085;&#1099;&#1077;%20&#1094;&#1077;&#1085;&#1099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Расчет себестоимости "/>
      <sheetName val="Сс константы"/>
      <sheetName val="Прайс ЗАО"/>
      <sheetName val="Расчет ЗАО"/>
      <sheetName val="Прайс Питер"/>
      <sheetName val="Расчет Питер"/>
      <sheetName val="Прайс Альдекор"/>
      <sheetName val="Расчет Альдекор"/>
      <sheetName val="смр с нач"/>
    </sheetNames>
    <sheetDataSet>
      <sheetData sheetId="0"/>
      <sheetData sheetId="1">
        <row r="4">
          <cell r="G4">
            <v>5.3767499999999995</v>
          </cell>
        </row>
      </sheetData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V92"/>
  <sheetViews>
    <sheetView tabSelected="1" view="pageBreakPreview" zoomScaleNormal="70" zoomScaleSheetLayoutView="100" workbookViewId="0">
      <selection activeCell="G55" sqref="G55"/>
    </sheetView>
  </sheetViews>
  <sheetFormatPr defaultColWidth="9.140625" defaultRowHeight="15" x14ac:dyDescent="0.25"/>
  <cols>
    <col min="1" max="1" width="11.140625" style="1" customWidth="1"/>
    <col min="2" max="2" width="57.140625" style="1" customWidth="1"/>
    <col min="3" max="3" width="11.42578125" style="1" customWidth="1"/>
    <col min="4" max="4" width="12.5703125" style="1" customWidth="1"/>
    <col min="5" max="5" width="15.5703125" style="1" customWidth="1"/>
    <col min="6" max="6" width="18.85546875" style="1" customWidth="1"/>
    <col min="7" max="7" width="14.85546875" style="52" customWidth="1"/>
    <col min="8" max="8" width="20.5703125" style="4" customWidth="1"/>
    <col min="9" max="9" width="14.85546875" style="1" customWidth="1"/>
    <col min="10" max="10" width="22.28515625" style="52" customWidth="1"/>
    <col min="11" max="11" width="19.28515625" style="4" customWidth="1"/>
    <col min="12" max="12" width="3.5703125" style="4" customWidth="1"/>
    <col min="13" max="13" width="46.42578125" style="4" customWidth="1"/>
    <col min="14" max="14" width="12.28515625" style="4" customWidth="1"/>
    <col min="15" max="15" width="14.7109375" style="1" customWidth="1"/>
    <col min="16" max="16" width="9.140625" style="1"/>
    <col min="17" max="17" width="10" style="1" bestFit="1" customWidth="1"/>
    <col min="18" max="21" width="9.140625" style="1"/>
    <col min="22" max="22" width="19.5703125" style="1" customWidth="1"/>
    <col min="23" max="16384" width="9.140625" style="1"/>
  </cols>
  <sheetData>
    <row r="1" spans="1:10" x14ac:dyDescent="0.25">
      <c r="B1" s="2"/>
      <c r="D1" s="20"/>
      <c r="E1" s="20"/>
      <c r="F1" s="3"/>
      <c r="I1" s="28"/>
      <c r="J1" s="56" t="s">
        <v>0</v>
      </c>
    </row>
    <row r="2" spans="1:10" x14ac:dyDescent="0.25">
      <c r="I2" s="5"/>
      <c r="J2" s="29" t="s">
        <v>1</v>
      </c>
    </row>
    <row r="3" spans="1:10" ht="18.75" customHeight="1" x14ac:dyDescent="0.25">
      <c r="D3" s="6"/>
      <c r="I3" s="7"/>
      <c r="J3" s="54"/>
    </row>
    <row r="4" spans="1:10" ht="43.5" customHeight="1" x14ac:dyDescent="0.25">
      <c r="A4" s="50" t="s">
        <v>44</v>
      </c>
      <c r="B4" s="128" t="s">
        <v>109</v>
      </c>
      <c r="C4" s="128"/>
      <c r="D4" s="128"/>
      <c r="E4" s="128"/>
      <c r="F4" s="128"/>
      <c r="G4" s="128"/>
      <c r="H4" s="128"/>
      <c r="I4" s="7"/>
      <c r="J4" s="129" t="s">
        <v>63</v>
      </c>
    </row>
    <row r="5" spans="1:10" x14ac:dyDescent="0.25">
      <c r="A5" s="8"/>
      <c r="B5" s="130" t="s">
        <v>4</v>
      </c>
      <c r="C5" s="130"/>
      <c r="D5" s="130"/>
      <c r="E5" s="130"/>
      <c r="F5" s="130"/>
      <c r="G5" s="130"/>
      <c r="H5" s="130"/>
      <c r="I5" s="7" t="s">
        <v>3</v>
      </c>
      <c r="J5" s="129"/>
    </row>
    <row r="6" spans="1:10" ht="27" customHeight="1" x14ac:dyDescent="0.25">
      <c r="A6" s="50" t="s">
        <v>46</v>
      </c>
      <c r="B6" s="131" t="s">
        <v>65</v>
      </c>
      <c r="C6" s="131"/>
      <c r="D6" s="131"/>
      <c r="E6" s="131"/>
      <c r="F6" s="131"/>
      <c r="G6" s="131"/>
      <c r="H6" s="131"/>
      <c r="I6" s="7"/>
      <c r="J6" s="129" t="s">
        <v>51</v>
      </c>
    </row>
    <row r="7" spans="1:10" x14ac:dyDescent="0.25">
      <c r="A7" s="8"/>
      <c r="B7" s="132" t="s">
        <v>4</v>
      </c>
      <c r="C7" s="132"/>
      <c r="D7" s="132"/>
      <c r="E7" s="132"/>
      <c r="F7" s="132"/>
      <c r="G7" s="132"/>
      <c r="H7" s="132"/>
      <c r="I7" s="7" t="s">
        <v>3</v>
      </c>
      <c r="J7" s="129"/>
    </row>
    <row r="8" spans="1:10" ht="60" customHeight="1" x14ac:dyDescent="0.25">
      <c r="A8" s="8" t="s">
        <v>104</v>
      </c>
      <c r="B8" s="133" t="s">
        <v>111</v>
      </c>
      <c r="C8" s="133"/>
      <c r="D8" s="133"/>
      <c r="E8" s="133"/>
      <c r="F8" s="133"/>
      <c r="G8" s="133"/>
      <c r="H8" s="133"/>
      <c r="I8" s="7"/>
      <c r="J8" s="62"/>
    </row>
    <row r="9" spans="1:10" ht="51.75" customHeight="1" x14ac:dyDescent="0.25">
      <c r="A9" s="51" t="s">
        <v>105</v>
      </c>
      <c r="B9" s="133" t="s">
        <v>110</v>
      </c>
      <c r="C9" s="133"/>
      <c r="D9" s="133"/>
      <c r="E9" s="133"/>
      <c r="F9" s="133"/>
      <c r="G9" s="133"/>
      <c r="H9" s="133"/>
      <c r="J9" s="134"/>
    </row>
    <row r="10" spans="1:10" x14ac:dyDescent="0.25">
      <c r="A10" s="9"/>
      <c r="B10" s="132" t="s">
        <v>5</v>
      </c>
      <c r="C10" s="132"/>
      <c r="D10" s="132"/>
      <c r="E10" s="132"/>
      <c r="F10" s="132"/>
      <c r="G10" s="132"/>
      <c r="H10" s="132"/>
      <c r="I10" s="7"/>
      <c r="J10" s="134"/>
    </row>
    <row r="11" spans="1:10" ht="18" customHeight="1" x14ac:dyDescent="0.25">
      <c r="A11" s="8"/>
      <c r="C11" s="8"/>
      <c r="D11" s="20"/>
      <c r="E11" s="20"/>
      <c r="F11" s="3"/>
      <c r="I11" s="7" t="s">
        <v>6</v>
      </c>
      <c r="J11" s="54" t="s">
        <v>64</v>
      </c>
    </row>
    <row r="12" spans="1:10" ht="18" customHeight="1" x14ac:dyDescent="0.25">
      <c r="B12" s="8"/>
      <c r="C12" s="8"/>
      <c r="D12" s="20"/>
      <c r="E12" s="20"/>
      <c r="F12" s="3"/>
      <c r="H12" s="10" t="s">
        <v>7</v>
      </c>
      <c r="I12" s="30" t="s">
        <v>8</v>
      </c>
      <c r="J12" s="126" t="s">
        <v>203</v>
      </c>
    </row>
    <row r="13" spans="1:10" ht="18" customHeight="1" x14ac:dyDescent="0.25">
      <c r="B13" s="8"/>
      <c r="D13" s="20"/>
      <c r="E13" s="20"/>
      <c r="F13" s="3"/>
      <c r="H13" s="5"/>
      <c r="I13" s="30" t="s">
        <v>9</v>
      </c>
      <c r="J13" s="53">
        <v>46045</v>
      </c>
    </row>
    <row r="14" spans="1:10" ht="18" hidden="1" customHeight="1" x14ac:dyDescent="0.25">
      <c r="B14" s="8"/>
      <c r="D14" s="20"/>
      <c r="E14" s="20"/>
      <c r="F14" s="57"/>
      <c r="G14" s="138" t="s">
        <v>66</v>
      </c>
      <c r="H14" s="139"/>
      <c r="I14" s="30" t="s">
        <v>8</v>
      </c>
      <c r="J14" s="59" t="s">
        <v>103</v>
      </c>
    </row>
    <row r="15" spans="1:10" hidden="1" x14ac:dyDescent="0.25">
      <c r="B15" s="2"/>
      <c r="D15" s="20"/>
      <c r="E15" s="20"/>
      <c r="F15" s="3"/>
      <c r="I15" s="30" t="s">
        <v>9</v>
      </c>
      <c r="J15" s="61">
        <v>46132</v>
      </c>
    </row>
    <row r="16" spans="1:10" ht="17.25" customHeight="1" x14ac:dyDescent="0.25">
      <c r="B16" s="2"/>
      <c r="D16" s="20"/>
      <c r="E16" s="20"/>
      <c r="F16" s="3"/>
      <c r="G16" s="135" t="s">
        <v>10</v>
      </c>
      <c r="H16" s="136" t="s">
        <v>11</v>
      </c>
      <c r="I16" s="137" t="s">
        <v>12</v>
      </c>
      <c r="J16" s="137"/>
    </row>
    <row r="17" spans="1:22" ht="17.25" customHeight="1" x14ac:dyDescent="0.25">
      <c r="B17" s="11"/>
      <c r="C17" s="43"/>
      <c r="D17" s="20"/>
      <c r="E17" s="20"/>
      <c r="F17" s="3"/>
      <c r="G17" s="135"/>
      <c r="H17" s="136"/>
      <c r="I17" s="45" t="s">
        <v>13</v>
      </c>
      <c r="J17" s="55" t="s">
        <v>14</v>
      </c>
    </row>
    <row r="18" spans="1:22" ht="17.25" customHeight="1" x14ac:dyDescent="0.2">
      <c r="B18" s="11"/>
      <c r="C18" s="5"/>
      <c r="D18" s="5"/>
      <c r="E18" s="49" t="s">
        <v>49</v>
      </c>
      <c r="F18" s="5"/>
      <c r="G18" s="33">
        <v>1</v>
      </c>
      <c r="H18" s="69">
        <v>46178</v>
      </c>
      <c r="I18" s="68">
        <v>46143</v>
      </c>
      <c r="J18" s="68">
        <v>46169</v>
      </c>
    </row>
    <row r="19" spans="1:22" s="8" customFormat="1" ht="18.75" customHeight="1" x14ac:dyDescent="0.25">
      <c r="A19" s="127" t="s">
        <v>15</v>
      </c>
      <c r="B19" s="127"/>
      <c r="C19" s="127"/>
      <c r="D19" s="127"/>
      <c r="E19" s="127"/>
      <c r="F19" s="127"/>
      <c r="G19" s="127"/>
      <c r="H19" s="127"/>
      <c r="I19" s="127"/>
      <c r="J19" s="127"/>
      <c r="K19" s="21"/>
      <c r="L19" s="21"/>
      <c r="M19" s="21"/>
      <c r="N19" s="21"/>
    </row>
    <row r="20" spans="1:22" s="43" customFormat="1" ht="30.75" customHeight="1" x14ac:dyDescent="0.25">
      <c r="A20" s="144" t="s">
        <v>16</v>
      </c>
      <c r="B20" s="142" t="s">
        <v>92</v>
      </c>
      <c r="C20" s="142" t="s">
        <v>50</v>
      </c>
      <c r="D20" s="142" t="s">
        <v>48</v>
      </c>
      <c r="E20" s="142" t="s">
        <v>93</v>
      </c>
      <c r="F20" s="145" t="s">
        <v>94</v>
      </c>
      <c r="G20" s="142" t="s">
        <v>17</v>
      </c>
      <c r="H20" s="142"/>
      <c r="I20" s="142" t="s">
        <v>18</v>
      </c>
      <c r="J20" s="142"/>
      <c r="K20" s="13"/>
      <c r="L20" s="13"/>
      <c r="M20" s="13"/>
      <c r="N20" s="13"/>
    </row>
    <row r="21" spans="1:22" s="43" customFormat="1" ht="39" customHeight="1" x14ac:dyDescent="0.25">
      <c r="A21" s="144"/>
      <c r="B21" s="142"/>
      <c r="C21" s="142"/>
      <c r="D21" s="142"/>
      <c r="E21" s="142"/>
      <c r="F21" s="146"/>
      <c r="G21" s="70" t="s">
        <v>48</v>
      </c>
      <c r="H21" s="71" t="s">
        <v>55</v>
      </c>
      <c r="I21" s="70" t="s">
        <v>48</v>
      </c>
      <c r="J21" s="71" t="s">
        <v>55</v>
      </c>
      <c r="K21" s="13"/>
      <c r="L21" s="13"/>
      <c r="M21" s="13"/>
      <c r="N21" s="13"/>
    </row>
    <row r="22" spans="1:22" ht="18.75" x14ac:dyDescent="0.25">
      <c r="A22" s="72">
        <v>1</v>
      </c>
      <c r="B22" s="70">
        <v>2</v>
      </c>
      <c r="C22" s="70">
        <v>3</v>
      </c>
      <c r="D22" s="70">
        <v>4</v>
      </c>
      <c r="E22" s="70">
        <v>5</v>
      </c>
      <c r="F22" s="73">
        <v>6</v>
      </c>
      <c r="G22" s="74">
        <v>7</v>
      </c>
      <c r="H22" s="74">
        <v>8</v>
      </c>
      <c r="I22" s="74">
        <v>9</v>
      </c>
      <c r="J22" s="74">
        <v>10</v>
      </c>
    </row>
    <row r="23" spans="1:22" ht="47.25" x14ac:dyDescent="0.2">
      <c r="A23" s="94"/>
      <c r="B23" s="95" t="s">
        <v>115</v>
      </c>
      <c r="C23" s="96"/>
      <c r="D23" s="97"/>
      <c r="E23" s="98"/>
      <c r="F23" s="98"/>
      <c r="G23" s="98"/>
      <c r="H23" s="98"/>
      <c r="I23" s="98"/>
      <c r="J23" s="99"/>
      <c r="M23" s="64" t="s">
        <v>76</v>
      </c>
    </row>
    <row r="24" spans="1:22" ht="15.75" x14ac:dyDescent="0.25">
      <c r="A24" s="100" t="s">
        <v>116</v>
      </c>
      <c r="B24" s="95" t="s">
        <v>117</v>
      </c>
      <c r="C24" s="101"/>
      <c r="D24" s="102"/>
      <c r="E24" s="103"/>
      <c r="F24" s="103"/>
      <c r="G24" s="103"/>
      <c r="H24" s="103"/>
      <c r="I24" s="103"/>
      <c r="J24" s="104"/>
      <c r="K24" s="36"/>
      <c r="M24" s="63" t="s">
        <v>60</v>
      </c>
      <c r="N24" s="4">
        <v>61.2</v>
      </c>
      <c r="O24" s="1">
        <v>3250</v>
      </c>
      <c r="Q24" s="1" t="b">
        <f>B24=M24</f>
        <v>0</v>
      </c>
      <c r="R24" s="60">
        <f>D25-N24</f>
        <v>-61.2</v>
      </c>
      <c r="S24" s="65">
        <f>E25-O24</f>
        <v>-3250</v>
      </c>
      <c r="V24" s="66">
        <f>I25*E25</f>
        <v>0</v>
      </c>
    </row>
    <row r="25" spans="1:22" ht="30" x14ac:dyDescent="0.25">
      <c r="A25" s="100" t="s">
        <v>103</v>
      </c>
      <c r="B25" s="95" t="s">
        <v>118</v>
      </c>
      <c r="C25" s="101"/>
      <c r="D25" s="102"/>
      <c r="E25" s="103"/>
      <c r="F25" s="103"/>
      <c r="G25" s="103"/>
      <c r="H25" s="103"/>
      <c r="I25" s="103"/>
      <c r="J25" s="105"/>
      <c r="K25" s="36"/>
      <c r="M25" s="63" t="s">
        <v>77</v>
      </c>
      <c r="N25" s="4">
        <v>26.01</v>
      </c>
      <c r="O25" s="1">
        <v>2194.17</v>
      </c>
      <c r="Q25" s="1" t="b">
        <f t="shared" ref="Q25:Q28" si="0">B25=M25</f>
        <v>0</v>
      </c>
      <c r="R25" s="60">
        <f t="shared" ref="R25:R28" si="1">D26-N25</f>
        <v>26.99</v>
      </c>
      <c r="S25" s="65">
        <f t="shared" ref="S25:S28" si="2">E26-O25</f>
        <v>1705.83</v>
      </c>
      <c r="V25" s="66">
        <f t="shared" ref="V25:V38" si="3">I26*E26</f>
        <v>0</v>
      </c>
    </row>
    <row r="26" spans="1:22" ht="31.5" x14ac:dyDescent="0.25">
      <c r="A26" s="106" t="s">
        <v>119</v>
      </c>
      <c r="B26" s="107" t="s">
        <v>120</v>
      </c>
      <c r="C26" s="108" t="s">
        <v>59</v>
      </c>
      <c r="D26" s="109">
        <v>53</v>
      </c>
      <c r="E26" s="110">
        <v>3900</v>
      </c>
      <c r="F26" s="110">
        <f>D26*E26</f>
        <v>206700</v>
      </c>
      <c r="G26" s="110">
        <v>0</v>
      </c>
      <c r="H26" s="110">
        <f t="shared" ref="H26:H28" si="4">D26*E26</f>
        <v>206700</v>
      </c>
      <c r="I26" s="110"/>
      <c r="J26" s="111">
        <f t="shared" ref="J26:J29" si="5">G26*D26</f>
        <v>0</v>
      </c>
      <c r="K26" s="36"/>
      <c r="M26" s="63" t="s">
        <v>61</v>
      </c>
      <c r="N26" s="4">
        <v>24.77</v>
      </c>
      <c r="O26" s="1">
        <v>750</v>
      </c>
      <c r="Q26" s="1" t="b">
        <f t="shared" si="0"/>
        <v>0</v>
      </c>
      <c r="R26" s="60">
        <f t="shared" si="1"/>
        <v>-13.27</v>
      </c>
      <c r="S26" s="65">
        <f t="shared" si="2"/>
        <v>2450</v>
      </c>
      <c r="V26" s="66">
        <f t="shared" si="3"/>
        <v>0</v>
      </c>
    </row>
    <row r="27" spans="1:22" ht="30" x14ac:dyDescent="0.25">
      <c r="A27" s="100" t="s">
        <v>121</v>
      </c>
      <c r="B27" s="107" t="s">
        <v>122</v>
      </c>
      <c r="C27" s="108" t="s">
        <v>59</v>
      </c>
      <c r="D27" s="109">
        <v>11.5</v>
      </c>
      <c r="E27" s="110">
        <v>3200</v>
      </c>
      <c r="F27" s="110">
        <f t="shared" ref="F27:F68" si="6">D27*E27</f>
        <v>36800</v>
      </c>
      <c r="G27" s="110">
        <v>0</v>
      </c>
      <c r="H27" s="110">
        <f t="shared" si="4"/>
        <v>36800</v>
      </c>
      <c r="I27" s="110"/>
      <c r="J27" s="111">
        <f t="shared" si="5"/>
        <v>0</v>
      </c>
      <c r="M27" s="63" t="s">
        <v>78</v>
      </c>
      <c r="N27" s="4">
        <v>11.4</v>
      </c>
      <c r="O27" s="1">
        <v>7500</v>
      </c>
      <c r="Q27" s="1" t="b">
        <f t="shared" si="0"/>
        <v>0</v>
      </c>
      <c r="R27" s="60">
        <f t="shared" si="1"/>
        <v>26.6</v>
      </c>
      <c r="S27" s="65">
        <f t="shared" si="2"/>
        <v>-6300</v>
      </c>
      <c r="V27" s="66">
        <f t="shared" si="3"/>
        <v>0</v>
      </c>
    </row>
    <row r="28" spans="1:22" ht="31.5" x14ac:dyDescent="0.25">
      <c r="A28" s="100" t="s">
        <v>123</v>
      </c>
      <c r="B28" s="107" t="s">
        <v>124</v>
      </c>
      <c r="C28" s="108" t="s">
        <v>59</v>
      </c>
      <c r="D28" s="109">
        <v>38</v>
      </c>
      <c r="E28" s="110">
        <v>1200</v>
      </c>
      <c r="F28" s="110">
        <f t="shared" si="6"/>
        <v>45600</v>
      </c>
      <c r="G28" s="110">
        <v>0</v>
      </c>
      <c r="H28" s="110">
        <f t="shared" si="4"/>
        <v>45600</v>
      </c>
      <c r="I28" s="110"/>
      <c r="J28" s="111">
        <f t="shared" si="5"/>
        <v>0</v>
      </c>
      <c r="M28" s="63" t="s">
        <v>79</v>
      </c>
      <c r="Q28" s="1" t="b">
        <f t="shared" si="0"/>
        <v>0</v>
      </c>
      <c r="R28" s="60">
        <f t="shared" si="1"/>
        <v>4</v>
      </c>
      <c r="S28" s="65">
        <f t="shared" si="2"/>
        <v>35500</v>
      </c>
      <c r="V28" s="66">
        <f t="shared" si="3"/>
        <v>0</v>
      </c>
    </row>
    <row r="29" spans="1:22" ht="18.75" customHeight="1" x14ac:dyDescent="0.25">
      <c r="A29" s="106" t="s">
        <v>125</v>
      </c>
      <c r="B29" s="107" t="s">
        <v>126</v>
      </c>
      <c r="C29" s="108" t="s">
        <v>59</v>
      </c>
      <c r="D29" s="109">
        <v>4</v>
      </c>
      <c r="E29" s="110">
        <v>35500</v>
      </c>
      <c r="F29" s="110">
        <f t="shared" si="6"/>
        <v>142000</v>
      </c>
      <c r="G29" s="110">
        <v>4</v>
      </c>
      <c r="H29" s="110"/>
      <c r="I29" s="110"/>
      <c r="J29" s="111">
        <f t="shared" si="5"/>
        <v>16</v>
      </c>
      <c r="M29" s="63" t="s">
        <v>80</v>
      </c>
      <c r="V29" s="66">
        <f t="shared" si="3"/>
        <v>0</v>
      </c>
    </row>
    <row r="30" spans="1:22" ht="15.75" x14ac:dyDescent="0.25">
      <c r="A30" s="100" t="s">
        <v>127</v>
      </c>
      <c r="B30" s="95" t="s">
        <v>128</v>
      </c>
      <c r="C30" s="101"/>
      <c r="D30" s="102"/>
      <c r="E30" s="103"/>
      <c r="F30" s="110">
        <f t="shared" si="6"/>
        <v>0</v>
      </c>
      <c r="G30" s="103"/>
      <c r="H30" s="103"/>
      <c r="I30" s="103"/>
      <c r="J30" s="105"/>
      <c r="M30" s="63" t="s">
        <v>81</v>
      </c>
      <c r="N30" s="4">
        <v>3</v>
      </c>
      <c r="O30" s="1">
        <v>113070</v>
      </c>
      <c r="Q30" s="1" t="b">
        <f>B29=M29</f>
        <v>0</v>
      </c>
      <c r="R30" s="60">
        <f>D30-N30</f>
        <v>-3</v>
      </c>
      <c r="S30" s="65">
        <f>E30-O30</f>
        <v>-113070</v>
      </c>
      <c r="V30" s="66">
        <f t="shared" si="3"/>
        <v>0</v>
      </c>
    </row>
    <row r="31" spans="1:22" ht="15.75" x14ac:dyDescent="0.25">
      <c r="A31" s="100" t="s">
        <v>129</v>
      </c>
      <c r="B31" s="112" t="s">
        <v>130</v>
      </c>
      <c r="C31" s="101" t="s">
        <v>58</v>
      </c>
      <c r="D31" s="102">
        <v>3</v>
      </c>
      <c r="E31" s="103">
        <v>113894.67</v>
      </c>
      <c r="F31" s="110">
        <f>D31*E31-0.01</f>
        <v>341684</v>
      </c>
      <c r="G31" s="110">
        <v>0</v>
      </c>
      <c r="H31" s="103">
        <f>D31*E31</f>
        <v>341684.01</v>
      </c>
      <c r="I31" s="103"/>
      <c r="J31" s="105">
        <v>341684</v>
      </c>
      <c r="M31" s="63" t="s">
        <v>82</v>
      </c>
      <c r="N31" s="4">
        <v>19</v>
      </c>
      <c r="O31" s="1">
        <v>1047.6199999999999</v>
      </c>
      <c r="Q31" s="1" t="b">
        <f t="shared" ref="Q31:Q39" si="7">B30=M30</f>
        <v>0</v>
      </c>
      <c r="R31" s="60">
        <f t="shared" ref="R31:R69" si="8">D31-N31</f>
        <v>-16</v>
      </c>
      <c r="S31" s="65">
        <f t="shared" ref="S31:S69" si="9">E31-O31</f>
        <v>112847.05</v>
      </c>
      <c r="V31" s="66">
        <f t="shared" si="3"/>
        <v>0</v>
      </c>
    </row>
    <row r="32" spans="1:22" ht="15.75" x14ac:dyDescent="0.25">
      <c r="A32" s="106" t="s">
        <v>131</v>
      </c>
      <c r="B32" s="112" t="s">
        <v>85</v>
      </c>
      <c r="C32" s="101" t="s">
        <v>56</v>
      </c>
      <c r="D32" s="102">
        <v>40.5</v>
      </c>
      <c r="E32" s="103">
        <v>4894.8999999999996</v>
      </c>
      <c r="F32" s="110">
        <f t="shared" si="6"/>
        <v>198243.45</v>
      </c>
      <c r="G32" s="110">
        <v>0</v>
      </c>
      <c r="H32" s="103">
        <f t="shared" ref="H32" si="10">D32*E32</f>
        <v>198243.45</v>
      </c>
      <c r="I32" s="103"/>
      <c r="J32" s="105">
        <v>198243.6</v>
      </c>
      <c r="M32" s="63" t="s">
        <v>83</v>
      </c>
      <c r="N32" s="4">
        <v>8</v>
      </c>
      <c r="O32" s="1">
        <v>1750</v>
      </c>
      <c r="Q32" s="1" t="b">
        <f t="shared" si="7"/>
        <v>0</v>
      </c>
      <c r="R32" s="60">
        <f t="shared" si="8"/>
        <v>32.5</v>
      </c>
      <c r="S32" s="65">
        <f t="shared" si="9"/>
        <v>3144.9</v>
      </c>
      <c r="V32" s="66">
        <f t="shared" si="3"/>
        <v>0</v>
      </c>
    </row>
    <row r="33" spans="1:22" ht="15.75" x14ac:dyDescent="0.25">
      <c r="A33" s="100" t="s">
        <v>132</v>
      </c>
      <c r="B33" s="113" t="s">
        <v>133</v>
      </c>
      <c r="C33" s="114" t="s">
        <v>56</v>
      </c>
      <c r="D33" s="115">
        <v>120</v>
      </c>
      <c r="E33" s="116">
        <v>0</v>
      </c>
      <c r="F33" s="110">
        <f t="shared" si="6"/>
        <v>0</v>
      </c>
      <c r="G33" s="103">
        <v>0</v>
      </c>
      <c r="H33" s="116"/>
      <c r="I33" s="116"/>
      <c r="J33" s="105">
        <f t="shared" ref="J33:J37" si="11">(G33*D33)/1.2*0.98360656</f>
        <v>0</v>
      </c>
      <c r="M33" s="63" t="s">
        <v>84</v>
      </c>
      <c r="N33" s="4">
        <v>2</v>
      </c>
      <c r="O33" s="1">
        <v>21750</v>
      </c>
      <c r="Q33" s="1" t="b">
        <f t="shared" si="7"/>
        <v>0</v>
      </c>
      <c r="R33" s="60">
        <f t="shared" si="8"/>
        <v>118</v>
      </c>
      <c r="S33" s="65">
        <f t="shared" si="9"/>
        <v>-21750</v>
      </c>
      <c r="V33" s="66">
        <f t="shared" si="3"/>
        <v>0</v>
      </c>
    </row>
    <row r="34" spans="1:22" ht="31.5" x14ac:dyDescent="0.25">
      <c r="A34" s="100" t="s">
        <v>134</v>
      </c>
      <c r="B34" s="113" t="s">
        <v>135</v>
      </c>
      <c r="C34" s="114" t="s">
        <v>58</v>
      </c>
      <c r="D34" s="115">
        <v>30</v>
      </c>
      <c r="E34" s="116">
        <v>0</v>
      </c>
      <c r="F34" s="110">
        <f t="shared" si="6"/>
        <v>0</v>
      </c>
      <c r="G34" s="103">
        <v>0</v>
      </c>
      <c r="H34" s="116"/>
      <c r="I34" s="116"/>
      <c r="J34" s="105">
        <f t="shared" si="11"/>
        <v>0</v>
      </c>
      <c r="M34" s="63" t="s">
        <v>85</v>
      </c>
      <c r="N34" s="4">
        <v>60.7</v>
      </c>
      <c r="O34" s="1">
        <v>4535.5600000000004</v>
      </c>
      <c r="Q34" s="1" t="b">
        <f t="shared" si="7"/>
        <v>0</v>
      </c>
      <c r="R34" s="60">
        <f t="shared" si="8"/>
        <v>-30.7</v>
      </c>
      <c r="S34" s="65">
        <f t="shared" si="9"/>
        <v>-4535.5600000000004</v>
      </c>
      <c r="V34" s="66">
        <f t="shared" si="3"/>
        <v>0</v>
      </c>
    </row>
    <row r="35" spans="1:22" ht="47.25" x14ac:dyDescent="0.25">
      <c r="A35" s="106" t="s">
        <v>136</v>
      </c>
      <c r="B35" s="113" t="s">
        <v>137</v>
      </c>
      <c r="C35" s="114" t="s">
        <v>138</v>
      </c>
      <c r="D35" s="115">
        <v>3</v>
      </c>
      <c r="E35" s="116">
        <v>0</v>
      </c>
      <c r="F35" s="110">
        <f t="shared" si="6"/>
        <v>0</v>
      </c>
      <c r="G35" s="103">
        <v>0</v>
      </c>
      <c r="H35" s="116"/>
      <c r="I35" s="116"/>
      <c r="J35" s="105">
        <f t="shared" si="11"/>
        <v>0</v>
      </c>
      <c r="M35" s="63" t="s">
        <v>86</v>
      </c>
      <c r="N35" s="4">
        <v>35.799999999999997</v>
      </c>
      <c r="O35" s="1">
        <v>1064.28</v>
      </c>
      <c r="Q35" s="1" t="b">
        <f t="shared" si="7"/>
        <v>0</v>
      </c>
      <c r="R35" s="60">
        <f t="shared" si="8"/>
        <v>-32.799999999999997</v>
      </c>
      <c r="S35" s="65">
        <f t="shared" si="9"/>
        <v>-1064.28</v>
      </c>
      <c r="V35" s="66">
        <f t="shared" si="3"/>
        <v>0</v>
      </c>
    </row>
    <row r="36" spans="1:22" ht="31.5" x14ac:dyDescent="0.25">
      <c r="A36" s="100" t="s">
        <v>139</v>
      </c>
      <c r="B36" s="113" t="s">
        <v>140</v>
      </c>
      <c r="C36" s="114" t="s">
        <v>58</v>
      </c>
      <c r="D36" s="115">
        <v>3</v>
      </c>
      <c r="E36" s="116">
        <v>0</v>
      </c>
      <c r="F36" s="110">
        <f t="shared" si="6"/>
        <v>0</v>
      </c>
      <c r="G36" s="103">
        <v>0</v>
      </c>
      <c r="H36" s="116"/>
      <c r="I36" s="116"/>
      <c r="J36" s="105">
        <f t="shared" si="11"/>
        <v>0</v>
      </c>
      <c r="M36" s="63" t="s">
        <v>87</v>
      </c>
      <c r="Q36" s="1" t="b">
        <f t="shared" si="7"/>
        <v>0</v>
      </c>
      <c r="R36" s="60">
        <f t="shared" si="8"/>
        <v>3</v>
      </c>
      <c r="S36" s="65">
        <f t="shared" si="9"/>
        <v>0</v>
      </c>
      <c r="V36" s="66">
        <f t="shared" si="3"/>
        <v>0</v>
      </c>
    </row>
    <row r="37" spans="1:22" ht="15.75" x14ac:dyDescent="0.25">
      <c r="A37" s="100" t="s">
        <v>141</v>
      </c>
      <c r="B37" s="113" t="s">
        <v>142</v>
      </c>
      <c r="C37" s="114" t="s">
        <v>58</v>
      </c>
      <c r="D37" s="115">
        <v>4.2</v>
      </c>
      <c r="E37" s="116">
        <v>0</v>
      </c>
      <c r="F37" s="110">
        <f t="shared" si="6"/>
        <v>0</v>
      </c>
      <c r="G37" s="103">
        <v>0</v>
      </c>
      <c r="H37" s="116"/>
      <c r="I37" s="116"/>
      <c r="J37" s="105">
        <f t="shared" si="11"/>
        <v>0</v>
      </c>
      <c r="M37" s="63" t="s">
        <v>88</v>
      </c>
      <c r="N37" s="4">
        <v>1455</v>
      </c>
      <c r="O37" s="1">
        <v>359.12</v>
      </c>
      <c r="Q37" s="1" t="b">
        <f t="shared" si="7"/>
        <v>0</v>
      </c>
      <c r="R37" s="60">
        <f t="shared" si="8"/>
        <v>-1450.8</v>
      </c>
      <c r="S37" s="65">
        <f t="shared" si="9"/>
        <v>-359.12</v>
      </c>
      <c r="V37" s="66">
        <f t="shared" si="3"/>
        <v>0</v>
      </c>
    </row>
    <row r="38" spans="1:22" ht="15.75" x14ac:dyDescent="0.25">
      <c r="A38" s="106" t="s">
        <v>143</v>
      </c>
      <c r="B38" s="112" t="s">
        <v>144</v>
      </c>
      <c r="C38" s="101" t="s">
        <v>56</v>
      </c>
      <c r="D38" s="102">
        <v>15</v>
      </c>
      <c r="E38" s="103">
        <v>948</v>
      </c>
      <c r="F38" s="110">
        <f t="shared" si="6"/>
        <v>14220</v>
      </c>
      <c r="G38" s="110">
        <v>0</v>
      </c>
      <c r="H38" s="103"/>
      <c r="I38" s="103"/>
      <c r="J38" s="105">
        <f>G38*D38</f>
        <v>0</v>
      </c>
      <c r="M38" s="63" t="s">
        <v>57</v>
      </c>
      <c r="N38" s="4">
        <v>4</v>
      </c>
      <c r="O38" s="1">
        <v>57233.33</v>
      </c>
      <c r="Q38" s="1" t="b">
        <f t="shared" si="7"/>
        <v>0</v>
      </c>
      <c r="R38" s="60">
        <f t="shared" si="8"/>
        <v>11</v>
      </c>
      <c r="S38" s="65">
        <f t="shared" si="9"/>
        <v>-56285.33</v>
      </c>
      <c r="V38" s="66">
        <f t="shared" si="3"/>
        <v>0</v>
      </c>
    </row>
    <row r="39" spans="1:22" ht="15.75" x14ac:dyDescent="0.25">
      <c r="A39" s="100" t="s">
        <v>145</v>
      </c>
      <c r="B39" s="95" t="s">
        <v>87</v>
      </c>
      <c r="C39" s="101"/>
      <c r="D39" s="102"/>
      <c r="E39" s="103"/>
      <c r="F39" s="110">
        <f t="shared" si="6"/>
        <v>0</v>
      </c>
      <c r="G39" s="103"/>
      <c r="H39" s="103"/>
      <c r="I39" s="103"/>
      <c r="J39" s="105"/>
      <c r="M39" s="63" t="s">
        <v>86</v>
      </c>
      <c r="N39" s="4">
        <v>2</v>
      </c>
      <c r="O39" s="1">
        <v>5784.17</v>
      </c>
      <c r="Q39" s="1" t="b">
        <f t="shared" si="7"/>
        <v>0</v>
      </c>
      <c r="R39" s="60">
        <f t="shared" si="8"/>
        <v>-2</v>
      </c>
      <c r="S39" s="65">
        <f t="shared" si="9"/>
        <v>-5784.17</v>
      </c>
      <c r="V39" s="66" t="e">
        <f>#REF!*#REF!</f>
        <v>#REF!</v>
      </c>
    </row>
    <row r="40" spans="1:22" ht="15.75" x14ac:dyDescent="0.25">
      <c r="A40" s="100" t="s">
        <v>146</v>
      </c>
      <c r="B40" s="112" t="s">
        <v>147</v>
      </c>
      <c r="C40" s="101" t="s">
        <v>56</v>
      </c>
      <c r="D40" s="102">
        <v>2605</v>
      </c>
      <c r="E40" s="103">
        <v>743.22</v>
      </c>
      <c r="F40" s="110">
        <f t="shared" si="6"/>
        <v>1936088.1</v>
      </c>
      <c r="G40" s="103">
        <v>0</v>
      </c>
      <c r="H40" s="103">
        <f>D40*E40</f>
        <v>1936088.1</v>
      </c>
      <c r="I40" s="103"/>
      <c r="J40" s="105">
        <v>1936094</v>
      </c>
      <c r="M40" s="63"/>
      <c r="R40" s="60"/>
      <c r="S40" s="65"/>
      <c r="V40" s="66"/>
    </row>
    <row r="41" spans="1:22" ht="15.75" x14ac:dyDescent="0.25">
      <c r="A41" s="106" t="s">
        <v>148</v>
      </c>
      <c r="B41" s="112" t="s">
        <v>149</v>
      </c>
      <c r="C41" s="101" t="s">
        <v>58</v>
      </c>
      <c r="D41" s="102">
        <v>4</v>
      </c>
      <c r="E41" s="103">
        <v>46829</v>
      </c>
      <c r="F41" s="110">
        <f t="shared" si="6"/>
        <v>187316</v>
      </c>
      <c r="G41" s="103">
        <v>0</v>
      </c>
      <c r="H41" s="103"/>
      <c r="I41" s="103"/>
      <c r="J41" s="105">
        <f>D41*G41</f>
        <v>0</v>
      </c>
      <c r="M41" s="63"/>
      <c r="R41" s="60"/>
      <c r="S41" s="65"/>
      <c r="V41" s="66"/>
    </row>
    <row r="42" spans="1:22" ht="15.75" x14ac:dyDescent="0.25">
      <c r="A42" s="100" t="s">
        <v>150</v>
      </c>
      <c r="B42" s="112" t="s">
        <v>151</v>
      </c>
      <c r="C42" s="101" t="s">
        <v>58</v>
      </c>
      <c r="D42" s="102">
        <v>6</v>
      </c>
      <c r="E42" s="103">
        <v>2572</v>
      </c>
      <c r="F42" s="110">
        <f t="shared" si="6"/>
        <v>15432</v>
      </c>
      <c r="G42" s="103">
        <v>0</v>
      </c>
      <c r="H42" s="103"/>
      <c r="I42" s="103"/>
      <c r="J42" s="105">
        <f>G42*D42</f>
        <v>0</v>
      </c>
      <c r="M42" s="63"/>
      <c r="R42" s="60"/>
      <c r="S42" s="65"/>
      <c r="V42" s="66"/>
    </row>
    <row r="43" spans="1:22" ht="15.75" x14ac:dyDescent="0.25">
      <c r="A43" s="100" t="s">
        <v>152</v>
      </c>
      <c r="B43" s="117" t="s">
        <v>153</v>
      </c>
      <c r="C43" s="118"/>
      <c r="D43" s="109"/>
      <c r="E43" s="110"/>
      <c r="F43" s="110">
        <f t="shared" si="6"/>
        <v>0</v>
      </c>
      <c r="G43" s="110"/>
      <c r="H43" s="110"/>
      <c r="I43" s="110"/>
      <c r="J43" s="111"/>
      <c r="M43" s="63"/>
      <c r="R43" s="60"/>
      <c r="S43" s="65"/>
      <c r="V43" s="66"/>
    </row>
    <row r="44" spans="1:22" ht="15.75" x14ac:dyDescent="0.25">
      <c r="A44" s="106" t="s">
        <v>154</v>
      </c>
      <c r="B44" s="107" t="s">
        <v>155</v>
      </c>
      <c r="C44" s="101" t="s">
        <v>56</v>
      </c>
      <c r="D44" s="110">
        <v>25</v>
      </c>
      <c r="E44" s="110">
        <v>9412</v>
      </c>
      <c r="F44" s="110">
        <f t="shared" si="6"/>
        <v>235300</v>
      </c>
      <c r="G44" s="110">
        <v>25</v>
      </c>
      <c r="H44" s="110">
        <f t="shared" ref="H44:H48" si="12">G44*E44</f>
        <v>235300</v>
      </c>
      <c r="I44" s="110"/>
      <c r="J44" s="119">
        <f t="shared" ref="J44:J45" si="13">G44*D44</f>
        <v>625</v>
      </c>
      <c r="M44" s="63"/>
      <c r="R44" s="60"/>
      <c r="S44" s="65"/>
      <c r="V44" s="66"/>
    </row>
    <row r="45" spans="1:22" ht="15.75" x14ac:dyDescent="0.25">
      <c r="A45" s="100" t="s">
        <v>156</v>
      </c>
      <c r="B45" s="120" t="s">
        <v>157</v>
      </c>
      <c r="C45" s="101" t="s">
        <v>56</v>
      </c>
      <c r="D45" s="110">
        <v>6</v>
      </c>
      <c r="E45" s="110">
        <v>7280</v>
      </c>
      <c r="F45" s="110">
        <f t="shared" si="6"/>
        <v>43680</v>
      </c>
      <c r="G45" s="110">
        <v>6</v>
      </c>
      <c r="H45" s="110">
        <f t="shared" si="12"/>
        <v>43680</v>
      </c>
      <c r="I45" s="110"/>
      <c r="J45" s="119">
        <f t="shared" si="13"/>
        <v>36</v>
      </c>
      <c r="M45" s="63"/>
      <c r="R45" s="60"/>
      <c r="S45" s="65"/>
      <c r="V45" s="66"/>
    </row>
    <row r="46" spans="1:22" ht="15.75" x14ac:dyDescent="0.25">
      <c r="A46" s="100" t="s">
        <v>158</v>
      </c>
      <c r="B46" s="120" t="s">
        <v>159</v>
      </c>
      <c r="C46" s="101" t="s">
        <v>56</v>
      </c>
      <c r="D46" s="110">
        <v>35.799999999999997</v>
      </c>
      <c r="E46" s="110">
        <v>503.18</v>
      </c>
      <c r="F46" s="110">
        <f t="shared" si="6"/>
        <v>18013.84</v>
      </c>
      <c r="G46" s="110">
        <v>35.799999999999997</v>
      </c>
      <c r="H46" s="110">
        <f t="shared" si="12"/>
        <v>18013.84</v>
      </c>
      <c r="I46" s="110"/>
      <c r="J46" s="119">
        <v>18014</v>
      </c>
      <c r="M46" s="63" t="s">
        <v>89</v>
      </c>
      <c r="Q46" s="1" t="b">
        <f>B9=M9</f>
        <v>0</v>
      </c>
      <c r="R46" s="60">
        <f t="shared" ref="R46" si="14">D46-N46</f>
        <v>35.799999999999997</v>
      </c>
      <c r="S46" s="65">
        <f t="shared" ref="S46" si="15">E46-O46</f>
        <v>503.18</v>
      </c>
      <c r="V46" s="66">
        <f>I50*E50</f>
        <v>0</v>
      </c>
    </row>
    <row r="47" spans="1:22" ht="15.75" x14ac:dyDescent="0.25">
      <c r="A47" s="106" t="s">
        <v>160</v>
      </c>
      <c r="B47" s="120" t="s">
        <v>161</v>
      </c>
      <c r="C47" s="101" t="s">
        <v>58</v>
      </c>
      <c r="D47" s="110">
        <v>2</v>
      </c>
      <c r="E47" s="110">
        <v>56912</v>
      </c>
      <c r="F47" s="110">
        <f t="shared" si="6"/>
        <v>113824</v>
      </c>
      <c r="G47" s="110">
        <v>2</v>
      </c>
      <c r="H47" s="110">
        <f t="shared" si="12"/>
        <v>113824</v>
      </c>
      <c r="I47" s="110"/>
      <c r="J47" s="119">
        <f t="shared" ref="J47:J48" si="16">G47*D47</f>
        <v>4</v>
      </c>
      <c r="M47" s="63"/>
      <c r="R47" s="60"/>
      <c r="S47" s="65"/>
      <c r="V47" s="66"/>
    </row>
    <row r="48" spans="1:22" ht="15.75" x14ac:dyDescent="0.25">
      <c r="A48" s="100" t="s">
        <v>162</v>
      </c>
      <c r="B48" s="120" t="s">
        <v>163</v>
      </c>
      <c r="C48" s="101" t="s">
        <v>58</v>
      </c>
      <c r="D48" s="109">
        <v>8</v>
      </c>
      <c r="E48" s="110">
        <v>15000</v>
      </c>
      <c r="F48" s="110">
        <f t="shared" si="6"/>
        <v>120000</v>
      </c>
      <c r="G48" s="110">
        <v>8</v>
      </c>
      <c r="H48" s="110">
        <f t="shared" si="12"/>
        <v>120000</v>
      </c>
      <c r="I48" s="110"/>
      <c r="J48" s="119">
        <f t="shared" si="16"/>
        <v>64</v>
      </c>
      <c r="M48" s="63"/>
      <c r="R48" s="60"/>
      <c r="S48" s="65"/>
      <c r="V48" s="66"/>
    </row>
    <row r="49" spans="1:22" ht="31.5" x14ac:dyDescent="0.25">
      <c r="A49" s="100" t="s">
        <v>164</v>
      </c>
      <c r="B49" s="121" t="s">
        <v>165</v>
      </c>
      <c r="C49" s="96"/>
      <c r="D49" s="122"/>
      <c r="E49" s="123"/>
      <c r="F49" s="110">
        <f t="shared" si="6"/>
        <v>0</v>
      </c>
      <c r="G49" s="123"/>
      <c r="H49" s="123"/>
      <c r="I49" s="123"/>
      <c r="J49" s="124"/>
      <c r="M49" s="63"/>
      <c r="R49" s="60"/>
      <c r="S49" s="65"/>
      <c r="V49" s="66"/>
    </row>
    <row r="50" spans="1:22" ht="15.75" x14ac:dyDescent="0.25">
      <c r="A50" s="106" t="s">
        <v>166</v>
      </c>
      <c r="B50" s="120" t="s">
        <v>167</v>
      </c>
      <c r="C50" s="101" t="s">
        <v>56</v>
      </c>
      <c r="D50" s="109">
        <v>6.2</v>
      </c>
      <c r="E50" s="110">
        <v>8556.1299999999992</v>
      </c>
      <c r="F50" s="110">
        <f t="shared" si="6"/>
        <v>53048.01</v>
      </c>
      <c r="G50" s="110">
        <v>0</v>
      </c>
      <c r="H50" s="110"/>
      <c r="I50" s="110"/>
      <c r="J50" s="119">
        <v>53048</v>
      </c>
      <c r="M50" s="63"/>
      <c r="R50" s="60"/>
      <c r="S50" s="65"/>
      <c r="V50" s="66"/>
    </row>
    <row r="51" spans="1:22" ht="15.75" x14ac:dyDescent="0.25">
      <c r="A51" s="100" t="s">
        <v>168</v>
      </c>
      <c r="B51" s="120" t="s">
        <v>169</v>
      </c>
      <c r="C51" s="101" t="s">
        <v>58</v>
      </c>
      <c r="D51" s="109">
        <v>8</v>
      </c>
      <c r="E51" s="110">
        <v>16604.349999999999</v>
      </c>
      <c r="F51" s="110">
        <f t="shared" si="6"/>
        <v>132834.79999999999</v>
      </c>
      <c r="G51" s="110">
        <v>0</v>
      </c>
      <c r="H51" s="110"/>
      <c r="I51" s="110"/>
      <c r="J51" s="119">
        <f>D51*G51</f>
        <v>0</v>
      </c>
      <c r="M51" s="63"/>
      <c r="R51" s="60"/>
      <c r="S51" s="65"/>
      <c r="V51" s="66"/>
    </row>
    <row r="52" spans="1:22" ht="47.25" x14ac:dyDescent="0.25">
      <c r="A52" s="100" t="s">
        <v>170</v>
      </c>
      <c r="B52" s="121" t="s">
        <v>171</v>
      </c>
      <c r="C52" s="101"/>
      <c r="D52" s="109"/>
      <c r="E52" s="110"/>
      <c r="F52" s="110">
        <f t="shared" si="6"/>
        <v>0</v>
      </c>
      <c r="G52" s="110"/>
      <c r="H52" s="110"/>
      <c r="I52" s="110"/>
      <c r="J52" s="119"/>
      <c r="M52" s="63"/>
      <c r="R52" s="60"/>
      <c r="S52" s="65"/>
      <c r="V52" s="66"/>
    </row>
    <row r="53" spans="1:22" ht="15.75" x14ac:dyDescent="0.25">
      <c r="A53" s="106" t="s">
        <v>172</v>
      </c>
      <c r="B53" s="120" t="s">
        <v>173</v>
      </c>
      <c r="C53" s="101" t="s">
        <v>58</v>
      </c>
      <c r="D53" s="109">
        <v>8</v>
      </c>
      <c r="E53" s="110">
        <v>34481.5</v>
      </c>
      <c r="F53" s="110">
        <f t="shared" si="6"/>
        <v>275852</v>
      </c>
      <c r="G53" s="110">
        <v>0</v>
      </c>
      <c r="H53" s="110"/>
      <c r="I53" s="110"/>
      <c r="J53" s="119">
        <f>G53*D53</f>
        <v>0</v>
      </c>
      <c r="M53" s="63"/>
      <c r="R53" s="60"/>
      <c r="S53" s="65"/>
      <c r="V53" s="66"/>
    </row>
    <row r="54" spans="1:22" ht="15.75" x14ac:dyDescent="0.25">
      <c r="A54" s="100" t="s">
        <v>174</v>
      </c>
      <c r="B54" s="120" t="s">
        <v>175</v>
      </c>
      <c r="C54" s="101" t="s">
        <v>58</v>
      </c>
      <c r="D54" s="109">
        <v>14</v>
      </c>
      <c r="E54" s="110">
        <v>2609.86</v>
      </c>
      <c r="F54" s="110">
        <f t="shared" si="6"/>
        <v>36538.04</v>
      </c>
      <c r="G54" s="110">
        <v>8</v>
      </c>
      <c r="H54" s="110"/>
      <c r="I54" s="110"/>
      <c r="J54" s="119">
        <v>36538</v>
      </c>
      <c r="M54" s="63"/>
      <c r="R54" s="60"/>
      <c r="S54" s="65"/>
      <c r="V54" s="66"/>
    </row>
    <row r="55" spans="1:22" ht="15.75" x14ac:dyDescent="0.25">
      <c r="A55" s="100" t="s">
        <v>176</v>
      </c>
      <c r="B55" s="120" t="s">
        <v>169</v>
      </c>
      <c r="C55" s="101" t="s">
        <v>58</v>
      </c>
      <c r="D55" s="109">
        <v>2</v>
      </c>
      <c r="E55" s="110">
        <v>18200</v>
      </c>
      <c r="F55" s="110">
        <f t="shared" si="6"/>
        <v>36400</v>
      </c>
      <c r="G55" s="110">
        <v>2</v>
      </c>
      <c r="H55" s="110"/>
      <c r="I55" s="110"/>
      <c r="J55" s="119">
        <f>G55*D55</f>
        <v>4</v>
      </c>
      <c r="M55" s="63"/>
      <c r="R55" s="60"/>
      <c r="S55" s="65"/>
      <c r="V55" s="66"/>
    </row>
    <row r="56" spans="1:22" ht="15.75" x14ac:dyDescent="0.25">
      <c r="A56" s="106" t="s">
        <v>177</v>
      </c>
      <c r="B56" s="120" t="s">
        <v>178</v>
      </c>
      <c r="C56" s="101" t="s">
        <v>179</v>
      </c>
      <c r="D56" s="109">
        <v>48</v>
      </c>
      <c r="E56" s="110">
        <v>8156.85</v>
      </c>
      <c r="F56" s="110">
        <f t="shared" si="6"/>
        <v>391528.8</v>
      </c>
      <c r="G56" s="110">
        <v>48</v>
      </c>
      <c r="H56" s="110"/>
      <c r="I56" s="110"/>
      <c r="J56" s="119">
        <v>391529</v>
      </c>
      <c r="M56" s="63" t="s">
        <v>89</v>
      </c>
      <c r="Q56" s="1" t="b">
        <f>B19=M19</f>
        <v>1</v>
      </c>
      <c r="R56" s="60">
        <f t="shared" ref="R56" si="17">D56-N56</f>
        <v>48</v>
      </c>
      <c r="S56" s="65">
        <f t="shared" ref="S56" si="18">E56-O56</f>
        <v>8156.85</v>
      </c>
      <c r="V56" s="66">
        <f>I60*E60</f>
        <v>0</v>
      </c>
    </row>
    <row r="57" spans="1:22" ht="15.75" x14ac:dyDescent="0.25">
      <c r="A57" s="100" t="s">
        <v>180</v>
      </c>
      <c r="B57" s="120" t="s">
        <v>181</v>
      </c>
      <c r="C57" s="101" t="s">
        <v>58</v>
      </c>
      <c r="D57" s="109">
        <v>5</v>
      </c>
      <c r="E57" s="110">
        <v>10320</v>
      </c>
      <c r="F57" s="110">
        <f t="shared" si="6"/>
        <v>51600</v>
      </c>
      <c r="G57" s="110">
        <v>5</v>
      </c>
      <c r="H57" s="110"/>
      <c r="I57" s="110"/>
      <c r="J57" s="119">
        <f t="shared" ref="J57:J58" si="19">G57*D57</f>
        <v>25</v>
      </c>
      <c r="M57" s="63"/>
      <c r="R57" s="60"/>
      <c r="S57" s="65"/>
      <c r="V57" s="66"/>
    </row>
    <row r="58" spans="1:22" ht="15.75" x14ac:dyDescent="0.25">
      <c r="A58" s="100" t="s">
        <v>182</v>
      </c>
      <c r="B58" s="120" t="s">
        <v>183</v>
      </c>
      <c r="C58" s="101" t="s">
        <v>56</v>
      </c>
      <c r="D58" s="109">
        <v>25</v>
      </c>
      <c r="E58" s="110">
        <v>4702.04</v>
      </c>
      <c r="F58" s="110">
        <f t="shared" si="6"/>
        <v>117551</v>
      </c>
      <c r="G58" s="110">
        <v>25</v>
      </c>
      <c r="H58" s="110"/>
      <c r="I58" s="110"/>
      <c r="J58" s="119">
        <f t="shared" si="19"/>
        <v>625</v>
      </c>
      <c r="M58" s="63"/>
      <c r="R58" s="60"/>
      <c r="S58" s="65"/>
      <c r="V58" s="66"/>
    </row>
    <row r="59" spans="1:22" ht="15.75" x14ac:dyDescent="0.25">
      <c r="A59" s="106" t="s">
        <v>184</v>
      </c>
      <c r="B59" s="113" t="s">
        <v>185</v>
      </c>
      <c r="C59" s="114" t="s">
        <v>56</v>
      </c>
      <c r="D59" s="115">
        <v>1470</v>
      </c>
      <c r="E59" s="116">
        <v>0</v>
      </c>
      <c r="F59" s="110">
        <f t="shared" si="6"/>
        <v>0</v>
      </c>
      <c r="G59" s="103">
        <v>0</v>
      </c>
      <c r="H59" s="116"/>
      <c r="I59" s="116"/>
      <c r="J59" s="105">
        <f t="shared" ref="J59:J65" si="20">(G59*D59)/1.2*0.98360656</f>
        <v>0</v>
      </c>
      <c r="M59" s="63"/>
      <c r="R59" s="60"/>
      <c r="S59" s="65"/>
      <c r="V59" s="66"/>
    </row>
    <row r="60" spans="1:22" ht="15.75" x14ac:dyDescent="0.25">
      <c r="A60" s="100" t="s">
        <v>186</v>
      </c>
      <c r="B60" s="113" t="s">
        <v>187</v>
      </c>
      <c r="C60" s="114" t="s">
        <v>56</v>
      </c>
      <c r="D60" s="115">
        <v>590</v>
      </c>
      <c r="E60" s="116">
        <v>0</v>
      </c>
      <c r="F60" s="110">
        <f t="shared" si="6"/>
        <v>0</v>
      </c>
      <c r="G60" s="103">
        <v>0</v>
      </c>
      <c r="H60" s="116"/>
      <c r="I60" s="116"/>
      <c r="J60" s="105">
        <f t="shared" si="20"/>
        <v>0</v>
      </c>
      <c r="M60" s="63"/>
      <c r="R60" s="60"/>
      <c r="S60" s="65"/>
      <c r="V60" s="66"/>
    </row>
    <row r="61" spans="1:22" ht="15.75" x14ac:dyDescent="0.25">
      <c r="A61" s="100" t="s">
        <v>188</v>
      </c>
      <c r="B61" s="113" t="s">
        <v>189</v>
      </c>
      <c r="C61" s="114" t="s">
        <v>56</v>
      </c>
      <c r="D61" s="115">
        <v>585</v>
      </c>
      <c r="E61" s="116">
        <v>0</v>
      </c>
      <c r="F61" s="110">
        <f t="shared" si="6"/>
        <v>0</v>
      </c>
      <c r="G61" s="103">
        <v>0</v>
      </c>
      <c r="H61" s="116"/>
      <c r="I61" s="116"/>
      <c r="J61" s="105">
        <f t="shared" si="20"/>
        <v>0</v>
      </c>
      <c r="M61" s="63"/>
      <c r="R61" s="60"/>
      <c r="S61" s="65"/>
      <c r="V61" s="66"/>
    </row>
    <row r="62" spans="1:22" ht="31.5" x14ac:dyDescent="0.25">
      <c r="A62" s="106" t="s">
        <v>190</v>
      </c>
      <c r="B62" s="113" t="s">
        <v>191</v>
      </c>
      <c r="C62" s="114" t="s">
        <v>56</v>
      </c>
      <c r="D62" s="115">
        <v>950</v>
      </c>
      <c r="E62" s="116">
        <v>0</v>
      </c>
      <c r="F62" s="110">
        <f t="shared" si="6"/>
        <v>0</v>
      </c>
      <c r="G62" s="103">
        <v>0</v>
      </c>
      <c r="H62" s="116"/>
      <c r="I62" s="116"/>
      <c r="J62" s="105">
        <f t="shared" si="20"/>
        <v>0</v>
      </c>
      <c r="M62" s="63"/>
      <c r="R62" s="60"/>
      <c r="S62" s="65"/>
      <c r="V62" s="66"/>
    </row>
    <row r="63" spans="1:22" ht="31.5" x14ac:dyDescent="0.25">
      <c r="A63" s="100" t="s">
        <v>192</v>
      </c>
      <c r="B63" s="113" t="s">
        <v>193</v>
      </c>
      <c r="C63" s="114" t="s">
        <v>58</v>
      </c>
      <c r="D63" s="115">
        <v>1900</v>
      </c>
      <c r="E63" s="116">
        <v>0</v>
      </c>
      <c r="F63" s="110">
        <f t="shared" si="6"/>
        <v>0</v>
      </c>
      <c r="G63" s="103">
        <v>0</v>
      </c>
      <c r="H63" s="116"/>
      <c r="I63" s="116"/>
      <c r="J63" s="105">
        <f t="shared" si="20"/>
        <v>0</v>
      </c>
      <c r="M63" s="63"/>
      <c r="R63" s="60"/>
      <c r="S63" s="65"/>
      <c r="V63" s="66"/>
    </row>
    <row r="64" spans="1:22" ht="15.75" x14ac:dyDescent="0.25">
      <c r="A64" s="100" t="s">
        <v>194</v>
      </c>
      <c r="B64" s="113" t="s">
        <v>195</v>
      </c>
      <c r="C64" s="114" t="s">
        <v>58</v>
      </c>
      <c r="D64" s="115">
        <v>2000</v>
      </c>
      <c r="E64" s="116">
        <v>0</v>
      </c>
      <c r="F64" s="110">
        <f t="shared" si="6"/>
        <v>0</v>
      </c>
      <c r="G64" s="103">
        <v>0</v>
      </c>
      <c r="H64" s="116"/>
      <c r="I64" s="116"/>
      <c r="J64" s="105">
        <f t="shared" si="20"/>
        <v>0</v>
      </c>
      <c r="M64" s="63"/>
      <c r="R64" s="60"/>
      <c r="S64" s="65"/>
      <c r="V64" s="66"/>
    </row>
    <row r="65" spans="1:22" ht="31.5" x14ac:dyDescent="0.25">
      <c r="A65" s="106" t="s">
        <v>196</v>
      </c>
      <c r="B65" s="113" t="s">
        <v>197</v>
      </c>
      <c r="C65" s="114" t="s">
        <v>58</v>
      </c>
      <c r="D65" s="115">
        <v>25</v>
      </c>
      <c r="E65" s="116">
        <v>0</v>
      </c>
      <c r="F65" s="110">
        <f t="shared" si="6"/>
        <v>0</v>
      </c>
      <c r="G65" s="103">
        <v>0</v>
      </c>
      <c r="H65" s="116"/>
      <c r="I65" s="116"/>
      <c r="J65" s="105">
        <f t="shared" si="20"/>
        <v>0</v>
      </c>
      <c r="M65" s="63"/>
      <c r="R65" s="60"/>
      <c r="S65" s="65"/>
      <c r="V65" s="66"/>
    </row>
    <row r="66" spans="1:22" ht="31.5" x14ac:dyDescent="0.25">
      <c r="A66" s="100" t="s">
        <v>198</v>
      </c>
      <c r="B66" s="95" t="s">
        <v>199</v>
      </c>
      <c r="C66" s="101"/>
      <c r="D66" s="102"/>
      <c r="E66" s="103"/>
      <c r="F66" s="110">
        <f t="shared" si="6"/>
        <v>0</v>
      </c>
      <c r="G66" s="103"/>
      <c r="H66" s="103"/>
      <c r="I66" s="103"/>
      <c r="J66" s="105"/>
      <c r="M66" s="63" t="s">
        <v>89</v>
      </c>
      <c r="Q66" s="1" t="b">
        <f>B29=M29</f>
        <v>0</v>
      </c>
      <c r="R66" s="60">
        <f t="shared" ref="R66" si="21">D66-N66</f>
        <v>0</v>
      </c>
      <c r="S66" s="65">
        <f t="shared" ref="S66" si="22">E66-O66</f>
        <v>0</v>
      </c>
      <c r="V66" s="66" t="e">
        <f>#REF!*#REF!</f>
        <v>#REF!</v>
      </c>
    </row>
    <row r="67" spans="1:22" ht="15.75" x14ac:dyDescent="0.25">
      <c r="A67" s="100" t="s">
        <v>200</v>
      </c>
      <c r="B67" s="112" t="s">
        <v>201</v>
      </c>
      <c r="C67" s="101" t="s">
        <v>54</v>
      </c>
      <c r="D67" s="102">
        <v>1</v>
      </c>
      <c r="E67" s="103">
        <v>50000</v>
      </c>
      <c r="F67" s="110">
        <f t="shared" si="6"/>
        <v>50000</v>
      </c>
      <c r="G67" s="103">
        <v>1</v>
      </c>
      <c r="H67" s="103"/>
      <c r="I67" s="103"/>
      <c r="J67" s="105">
        <f t="shared" ref="J67:J68" si="23">G67*D67</f>
        <v>1</v>
      </c>
      <c r="M67" s="63"/>
      <c r="R67" s="60"/>
      <c r="S67" s="65"/>
      <c r="V67" s="66"/>
    </row>
    <row r="68" spans="1:22" ht="15.75" x14ac:dyDescent="0.25">
      <c r="A68" s="106" t="s">
        <v>202</v>
      </c>
      <c r="B68" s="112" t="s">
        <v>204</v>
      </c>
      <c r="C68" s="101" t="s">
        <v>54</v>
      </c>
      <c r="D68" s="102">
        <v>1</v>
      </c>
      <c r="E68" s="103">
        <v>450000</v>
      </c>
      <c r="F68" s="110">
        <f t="shared" si="6"/>
        <v>450000</v>
      </c>
      <c r="G68" s="103">
        <v>0</v>
      </c>
      <c r="H68" s="103">
        <f>D68*E68</f>
        <v>450000</v>
      </c>
      <c r="I68" s="103"/>
      <c r="J68" s="105">
        <f t="shared" si="23"/>
        <v>0</v>
      </c>
      <c r="M68" s="63"/>
      <c r="R68" s="60"/>
      <c r="S68" s="65"/>
      <c r="V68" s="66"/>
    </row>
    <row r="69" spans="1:22" ht="18.75" x14ac:dyDescent="0.25">
      <c r="A69" s="143" t="s">
        <v>41</v>
      </c>
      <c r="B69" s="143"/>
      <c r="C69" s="143"/>
      <c r="D69" s="143"/>
      <c r="E69" s="143"/>
      <c r="F69" s="77">
        <f>SUM(F23:F68)+0.01</f>
        <v>5250254.05</v>
      </c>
      <c r="G69" s="75"/>
      <c r="H69" s="78">
        <f>SUM(H23:H68)</f>
        <v>3745933.4</v>
      </c>
      <c r="I69" s="78"/>
      <c r="J69" s="79">
        <f>SUM(J23:J68)</f>
        <v>2976550.6</v>
      </c>
      <c r="Q69" s="1" t="e">
        <f>#REF!=#REF!</f>
        <v>#REF!</v>
      </c>
      <c r="R69" s="60">
        <f t="shared" si="8"/>
        <v>0</v>
      </c>
      <c r="S69" s="65">
        <f t="shared" si="9"/>
        <v>0</v>
      </c>
    </row>
    <row r="70" spans="1:22" ht="18.75" x14ac:dyDescent="0.25">
      <c r="A70" s="143" t="s">
        <v>90</v>
      </c>
      <c r="B70" s="143"/>
      <c r="C70" s="143"/>
      <c r="D70" s="143"/>
      <c r="E70" s="143"/>
      <c r="F70" s="78">
        <f>F69/122*22</f>
        <v>946767.12</v>
      </c>
      <c r="G70" s="78"/>
      <c r="H70" s="78">
        <f t="shared" ref="H70" si="24">H69*22%</f>
        <v>824105.35</v>
      </c>
      <c r="I70" s="78"/>
      <c r="J70" s="78">
        <f>J69/122*22</f>
        <v>536755.03</v>
      </c>
      <c r="K70" s="4">
        <f>ROUND(J69*0.22,2)</f>
        <v>654841.13</v>
      </c>
      <c r="M70" s="4">
        <f>J69*100/F69</f>
        <v>56.69</v>
      </c>
    </row>
    <row r="71" spans="1:22" ht="18.75" x14ac:dyDescent="0.25">
      <c r="A71" s="147" t="s">
        <v>45</v>
      </c>
      <c r="B71" s="148"/>
      <c r="C71" s="148"/>
      <c r="D71" s="148"/>
      <c r="E71" s="149"/>
      <c r="F71" s="78"/>
      <c r="G71" s="78"/>
      <c r="H71" s="78"/>
      <c r="I71" s="78"/>
      <c r="J71" s="79">
        <f>J69*0.05</f>
        <v>148827.53</v>
      </c>
      <c r="K71" s="4" t="e">
        <f>ROUND(#REF!*0.05,2)</f>
        <v>#REF!</v>
      </c>
    </row>
    <row r="72" spans="1:22" ht="18.75" x14ac:dyDescent="0.25">
      <c r="A72" s="147" t="s">
        <v>91</v>
      </c>
      <c r="B72" s="148"/>
      <c r="C72" s="148"/>
      <c r="D72" s="148"/>
      <c r="E72" s="149"/>
      <c r="F72" s="78"/>
      <c r="G72" s="78"/>
      <c r="H72" s="78"/>
      <c r="I72" s="78"/>
      <c r="J72" s="79"/>
    </row>
    <row r="73" spans="1:22" ht="18.75" x14ac:dyDescent="0.25">
      <c r="A73" s="147" t="s">
        <v>70</v>
      </c>
      <c r="B73" s="148"/>
      <c r="C73" s="148"/>
      <c r="D73" s="148"/>
      <c r="E73" s="149"/>
      <c r="F73" s="78"/>
      <c r="G73" s="78"/>
      <c r="H73" s="78"/>
      <c r="I73" s="78"/>
      <c r="J73" s="125">
        <v>800000</v>
      </c>
    </row>
    <row r="74" spans="1:22" ht="18.75" x14ac:dyDescent="0.25">
      <c r="A74" s="147" t="s">
        <v>71</v>
      </c>
      <c r="B74" s="148"/>
      <c r="C74" s="148"/>
      <c r="D74" s="148"/>
      <c r="E74" s="149"/>
      <c r="F74" s="78"/>
      <c r="G74" s="78"/>
      <c r="H74" s="78"/>
      <c r="I74" s="78"/>
      <c r="J74" s="79"/>
    </row>
    <row r="75" spans="1:22" ht="18.75" x14ac:dyDescent="0.25">
      <c r="A75" s="147" t="s">
        <v>72</v>
      </c>
      <c r="B75" s="148"/>
      <c r="C75" s="148"/>
      <c r="D75" s="148"/>
      <c r="E75" s="149"/>
      <c r="F75" s="78"/>
      <c r="G75" s="78"/>
      <c r="H75" s="78"/>
      <c r="I75" s="78"/>
      <c r="J75" s="79"/>
    </row>
    <row r="76" spans="1:22" ht="18.75" x14ac:dyDescent="0.25">
      <c r="A76" s="147" t="s">
        <v>73</v>
      </c>
      <c r="B76" s="148"/>
      <c r="C76" s="148"/>
      <c r="D76" s="148"/>
      <c r="E76" s="149"/>
      <c r="F76" s="78"/>
      <c r="G76" s="78"/>
      <c r="H76" s="78"/>
      <c r="I76" s="78"/>
      <c r="J76" s="79"/>
    </row>
    <row r="77" spans="1:22" ht="18.75" x14ac:dyDescent="0.25">
      <c r="A77" s="150" t="s">
        <v>74</v>
      </c>
      <c r="B77" s="151"/>
      <c r="C77" s="151"/>
      <c r="D77" s="151"/>
      <c r="E77" s="152"/>
      <c r="F77" s="78"/>
      <c r="G77" s="78"/>
      <c r="H77" s="78"/>
      <c r="I77" s="78"/>
      <c r="J77" s="80">
        <f>J69-J71-J72-J73-J74-J75-J76</f>
        <v>2027723.07</v>
      </c>
    </row>
    <row r="78" spans="1:22" ht="15" customHeight="1" x14ac:dyDescent="0.25">
      <c r="A78" s="147" t="s">
        <v>75</v>
      </c>
      <c r="B78" s="148"/>
      <c r="C78" s="148"/>
      <c r="D78" s="148"/>
      <c r="E78" s="149"/>
      <c r="F78" s="78"/>
      <c r="G78" s="76"/>
      <c r="H78" s="81"/>
      <c r="I78" s="82"/>
      <c r="J78" s="83">
        <f>J77/122*22</f>
        <v>365654.98</v>
      </c>
      <c r="K78" s="4">
        <f>ROUND(J77/122*22,2)</f>
        <v>365654.98</v>
      </c>
    </row>
    <row r="79" spans="1:22" ht="18.75" x14ac:dyDescent="0.25">
      <c r="A79" s="84"/>
      <c r="B79" s="84"/>
      <c r="C79" s="84"/>
      <c r="D79" s="84"/>
      <c r="E79" s="84"/>
      <c r="F79" s="85"/>
      <c r="G79" s="86"/>
      <c r="H79" s="87"/>
      <c r="I79" s="84"/>
      <c r="J79" s="86"/>
    </row>
    <row r="80" spans="1:22" ht="77.25" customHeight="1" x14ac:dyDescent="0.25">
      <c r="A80" s="84"/>
      <c r="B80" s="84"/>
      <c r="C80" s="84"/>
      <c r="D80" s="84"/>
      <c r="E80" s="84"/>
      <c r="F80" s="85"/>
      <c r="G80" s="86"/>
      <c r="H80" s="87"/>
      <c r="I80" s="84"/>
      <c r="J80" s="86"/>
    </row>
    <row r="81" spans="1:10" ht="18.75" x14ac:dyDescent="0.25">
      <c r="A81" s="84" t="s">
        <v>97</v>
      </c>
      <c r="B81" s="88" t="s">
        <v>98</v>
      </c>
      <c r="C81" s="84"/>
      <c r="D81" s="86"/>
      <c r="E81" s="84"/>
      <c r="F81" s="85"/>
      <c r="G81" s="86"/>
      <c r="H81" s="87"/>
      <c r="I81" s="84"/>
      <c r="J81" s="86"/>
    </row>
    <row r="82" spans="1:10" ht="18.75" x14ac:dyDescent="0.25">
      <c r="A82" s="84"/>
      <c r="B82" s="88" t="s">
        <v>52</v>
      </c>
      <c r="C82" s="84"/>
      <c r="D82" s="86"/>
      <c r="E82" s="84"/>
      <c r="F82" s="84"/>
      <c r="G82" s="86"/>
      <c r="H82" s="87"/>
      <c r="I82" s="84"/>
      <c r="J82" s="86"/>
    </row>
    <row r="83" spans="1:10" ht="18.75" x14ac:dyDescent="0.25">
      <c r="A83" s="84"/>
      <c r="B83" s="88" t="s">
        <v>47</v>
      </c>
      <c r="C83" s="140"/>
      <c r="D83" s="140"/>
      <c r="E83" s="140"/>
      <c r="F83" s="140"/>
      <c r="G83" s="86"/>
      <c r="H83" s="89" t="s">
        <v>62</v>
      </c>
      <c r="I83" s="90"/>
      <c r="J83" s="86"/>
    </row>
    <row r="84" spans="1:10" ht="18.75" x14ac:dyDescent="0.25">
      <c r="A84" s="84"/>
      <c r="B84" s="91" t="s">
        <v>20</v>
      </c>
      <c r="C84" s="141" t="s">
        <v>21</v>
      </c>
      <c r="D84" s="141"/>
      <c r="E84" s="141"/>
      <c r="F84" s="141"/>
      <c r="G84" s="86"/>
      <c r="H84" s="84" t="s">
        <v>22</v>
      </c>
      <c r="I84" s="84"/>
      <c r="J84" s="86"/>
    </row>
    <row r="85" spans="1:10" ht="18.75" x14ac:dyDescent="0.25">
      <c r="A85" s="84"/>
      <c r="B85" s="92"/>
      <c r="C85" s="84"/>
      <c r="D85" s="86"/>
      <c r="E85" s="84"/>
      <c r="F85" s="84"/>
      <c r="G85" s="86"/>
      <c r="H85" s="87"/>
      <c r="I85" s="84"/>
      <c r="J85" s="86"/>
    </row>
    <row r="86" spans="1:10" ht="67.5" customHeight="1" x14ac:dyDescent="0.25">
      <c r="A86" s="84"/>
      <c r="B86" s="84"/>
      <c r="C86" s="84"/>
      <c r="D86" s="86"/>
      <c r="E86" s="84"/>
      <c r="F86" s="84"/>
      <c r="G86" s="86"/>
      <c r="H86" s="84"/>
      <c r="I86" s="84"/>
      <c r="J86" s="86"/>
    </row>
    <row r="87" spans="1:10" ht="18.75" x14ac:dyDescent="0.25">
      <c r="A87" s="84" t="s">
        <v>99</v>
      </c>
      <c r="B87" s="88" t="s">
        <v>100</v>
      </c>
      <c r="C87" s="84"/>
      <c r="D87" s="86"/>
      <c r="E87" s="84"/>
      <c r="F87" s="84"/>
      <c r="G87" s="86"/>
      <c r="H87" s="84"/>
      <c r="I87" s="84"/>
      <c r="J87" s="86"/>
    </row>
    <row r="88" spans="1:10" ht="18.75" x14ac:dyDescent="0.25">
      <c r="A88" s="84"/>
      <c r="B88" s="93" t="s">
        <v>112</v>
      </c>
      <c r="C88" s="84"/>
      <c r="D88" s="86"/>
      <c r="E88" s="84"/>
      <c r="F88" s="84"/>
      <c r="G88" s="86"/>
      <c r="H88" s="87"/>
      <c r="I88" s="84"/>
      <c r="J88" s="86"/>
    </row>
    <row r="89" spans="1:10" ht="18.75" x14ac:dyDescent="0.25">
      <c r="A89" s="84"/>
      <c r="B89" s="93" t="s">
        <v>113</v>
      </c>
      <c r="C89" s="140"/>
      <c r="D89" s="140"/>
      <c r="E89" s="140"/>
      <c r="F89" s="140"/>
      <c r="G89" s="86"/>
      <c r="H89" s="89" t="s">
        <v>114</v>
      </c>
      <c r="I89" s="90"/>
      <c r="J89" s="86"/>
    </row>
    <row r="90" spans="1:10" ht="18.75" x14ac:dyDescent="0.25">
      <c r="A90" s="84"/>
      <c r="B90" s="91" t="s">
        <v>20</v>
      </c>
      <c r="C90" s="141" t="s">
        <v>21</v>
      </c>
      <c r="D90" s="141"/>
      <c r="E90" s="141"/>
      <c r="F90" s="141"/>
      <c r="G90" s="86"/>
      <c r="H90" s="84" t="s">
        <v>22</v>
      </c>
      <c r="I90" s="84"/>
      <c r="J90" s="86"/>
    </row>
    <row r="91" spans="1:10" ht="18.75" x14ac:dyDescent="0.25">
      <c r="A91" s="84"/>
      <c r="B91" s="84"/>
      <c r="C91" s="84"/>
      <c r="D91" s="86"/>
      <c r="E91" s="84"/>
      <c r="F91" s="84"/>
      <c r="G91" s="86"/>
      <c r="H91" s="87"/>
      <c r="I91" s="84"/>
      <c r="J91" s="86"/>
    </row>
    <row r="92" spans="1:10" ht="15.75" x14ac:dyDescent="0.25">
      <c r="B92" s="41"/>
      <c r="C92" s="37"/>
      <c r="D92" s="39"/>
      <c r="E92" s="37"/>
      <c r="F92" s="37"/>
      <c r="G92" s="39"/>
      <c r="H92" s="40"/>
      <c r="I92" s="37"/>
    </row>
  </sheetData>
  <autoFilter ref="A22:K70" xr:uid="{00000000-0009-0000-0000-000000000000}"/>
  <mergeCells count="37">
    <mergeCell ref="A78:E78"/>
    <mergeCell ref="A71:E71"/>
    <mergeCell ref="A72:E72"/>
    <mergeCell ref="A73:E73"/>
    <mergeCell ref="A74:E74"/>
    <mergeCell ref="A75:E75"/>
    <mergeCell ref="C89:F89"/>
    <mergeCell ref="C90:F90"/>
    <mergeCell ref="I20:J20"/>
    <mergeCell ref="A69:E69"/>
    <mergeCell ref="A70:E70"/>
    <mergeCell ref="C83:F83"/>
    <mergeCell ref="C84:F84"/>
    <mergeCell ref="A20:A21"/>
    <mergeCell ref="B20:B21"/>
    <mergeCell ref="C20:C21"/>
    <mergeCell ref="D20:D21"/>
    <mergeCell ref="E20:E21"/>
    <mergeCell ref="F20:F21"/>
    <mergeCell ref="G20:H20"/>
    <mergeCell ref="A76:E76"/>
    <mergeCell ref="A77:E77"/>
    <mergeCell ref="A19:J19"/>
    <mergeCell ref="B4:H4"/>
    <mergeCell ref="J4:J5"/>
    <mergeCell ref="B5:H5"/>
    <mergeCell ref="B6:H6"/>
    <mergeCell ref="J6:J7"/>
    <mergeCell ref="B7:H7"/>
    <mergeCell ref="B9:H9"/>
    <mergeCell ref="J9:J10"/>
    <mergeCell ref="B10:H10"/>
    <mergeCell ref="G16:G17"/>
    <mergeCell ref="H16:H17"/>
    <mergeCell ref="I16:J16"/>
    <mergeCell ref="G14:H14"/>
    <mergeCell ref="B8:H8"/>
  </mergeCells>
  <phoneticPr fontId="11" type="noConversion"/>
  <pageMargins left="0.31496062992125984" right="0.27559055118110237" top="0.39370078740157483" bottom="0.39370078740157483" header="0.19685039370078741" footer="0.19685039370078741"/>
  <pageSetup paperSize="9" scale="49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60"/>
  <sheetViews>
    <sheetView view="pageBreakPreview" topLeftCell="A25" zoomScale="80" zoomScaleNormal="80" zoomScaleSheetLayoutView="80" workbookViewId="0">
      <selection activeCell="I43" sqref="I43"/>
    </sheetView>
  </sheetViews>
  <sheetFormatPr defaultColWidth="9.140625" defaultRowHeight="15" x14ac:dyDescent="0.25"/>
  <cols>
    <col min="1" max="1" width="16.5703125" style="1" customWidth="1"/>
    <col min="2" max="5" width="16.42578125" style="1" customWidth="1"/>
    <col min="6" max="6" width="18.7109375" style="1" customWidth="1"/>
    <col min="7" max="9" width="17.85546875" style="1" customWidth="1"/>
    <col min="10" max="10" width="10.140625" style="22" customWidth="1"/>
    <col min="11" max="11" width="18" style="22" customWidth="1"/>
    <col min="12" max="12" width="9.140625" style="22"/>
    <col min="13" max="13" width="17.28515625" style="23" customWidth="1"/>
    <col min="14" max="14" width="16.85546875" style="22" bestFit="1" customWidth="1"/>
    <col min="15" max="18" width="9.140625" style="22"/>
    <col min="19" max="16384" width="9.140625" style="1"/>
  </cols>
  <sheetData>
    <row r="1" spans="1:10" x14ac:dyDescent="0.25">
      <c r="A1" s="1" t="s">
        <v>23</v>
      </c>
      <c r="I1" s="43" t="s">
        <v>24</v>
      </c>
    </row>
    <row r="2" spans="1:10" x14ac:dyDescent="0.25">
      <c r="H2" s="153" t="s">
        <v>25</v>
      </c>
      <c r="I2" s="153"/>
    </row>
    <row r="3" spans="1:10" x14ac:dyDescent="0.25">
      <c r="G3" s="7" t="s">
        <v>2</v>
      </c>
      <c r="H3" s="134" t="s">
        <v>26</v>
      </c>
      <c r="I3" s="134"/>
    </row>
    <row r="4" spans="1:10" x14ac:dyDescent="0.25">
      <c r="G4" s="7"/>
      <c r="H4" s="134" t="s">
        <v>63</v>
      </c>
      <c r="I4" s="134"/>
    </row>
    <row r="5" spans="1:10" ht="36" customHeight="1" x14ac:dyDescent="0.25">
      <c r="A5" s="25" t="s">
        <v>44</v>
      </c>
      <c r="B5" s="154" t="s">
        <v>95</v>
      </c>
      <c r="C5" s="154"/>
      <c r="D5" s="154"/>
      <c r="E5" s="154"/>
      <c r="F5" s="154"/>
      <c r="G5" s="7" t="s">
        <v>3</v>
      </c>
      <c r="H5" s="134"/>
      <c r="I5" s="134"/>
    </row>
    <row r="6" spans="1:10" ht="15" customHeight="1" x14ac:dyDescent="0.25">
      <c r="A6" s="8"/>
      <c r="B6" s="155" t="s">
        <v>4</v>
      </c>
      <c r="C6" s="155"/>
      <c r="D6" s="155"/>
      <c r="E6" s="155"/>
      <c r="F6" s="155"/>
      <c r="G6" s="7"/>
      <c r="H6" s="134" t="s">
        <v>51</v>
      </c>
      <c r="I6" s="134"/>
    </row>
    <row r="7" spans="1:10" ht="36" customHeight="1" x14ac:dyDescent="0.25">
      <c r="A7" s="25" t="s">
        <v>46</v>
      </c>
      <c r="B7" s="154" t="s">
        <v>53</v>
      </c>
      <c r="C7" s="154"/>
      <c r="D7" s="154"/>
      <c r="E7" s="154"/>
      <c r="F7" s="154"/>
      <c r="G7" s="7" t="s">
        <v>3</v>
      </c>
      <c r="H7" s="134"/>
      <c r="I7" s="134"/>
    </row>
    <row r="8" spans="1:10" ht="15" customHeight="1" x14ac:dyDescent="0.25">
      <c r="A8" s="26"/>
      <c r="B8" s="155" t="s">
        <v>4</v>
      </c>
      <c r="C8" s="155"/>
      <c r="D8" s="155"/>
      <c r="E8" s="155"/>
      <c r="F8" s="155"/>
      <c r="H8" s="157" t="s">
        <v>23</v>
      </c>
      <c r="I8" s="158"/>
    </row>
    <row r="9" spans="1:10" ht="15" customHeight="1" x14ac:dyDescent="0.25">
      <c r="A9" s="26"/>
      <c r="B9" s="67"/>
      <c r="C9" s="67"/>
      <c r="D9" s="67"/>
      <c r="E9" s="67"/>
      <c r="F9" s="67"/>
      <c r="H9" s="161"/>
      <c r="I9" s="162"/>
    </row>
    <row r="10" spans="1:10" ht="77.25" customHeight="1" x14ac:dyDescent="0.25">
      <c r="A10" s="26" t="s">
        <v>106</v>
      </c>
      <c r="B10" s="156" t="str">
        <f>'КС2 №1'!B8:H8</f>
        <v>выполнение дополнительного комплекса работ по монтажу, пуско-наладке и сдаче наружных сетей связи на объекте капитального строительства: «Комплексная реконструкция, реставрация и приспособление зданий бывшей городской усадьбы XVIII-XIX вв. (г. Москва, ул. Волхонка, д. 8, строения 7, 8, 9, 10, 11) под музейно-административные здания».</v>
      </c>
      <c r="C10" s="156"/>
      <c r="D10" s="156"/>
      <c r="E10" s="156"/>
      <c r="F10" s="156"/>
      <c r="H10" s="161"/>
      <c r="I10" s="162"/>
    </row>
    <row r="11" spans="1:10" ht="15" customHeight="1" x14ac:dyDescent="0.25">
      <c r="B11" s="155" t="s">
        <v>5</v>
      </c>
      <c r="C11" s="155"/>
      <c r="D11" s="155"/>
      <c r="E11" s="155"/>
      <c r="F11" s="155"/>
      <c r="G11" s="2"/>
      <c r="H11" s="159"/>
      <c r="I11" s="160"/>
    </row>
    <row r="12" spans="1:10" ht="68.25" customHeight="1" x14ac:dyDescent="0.25">
      <c r="A12" s="25" t="s">
        <v>108</v>
      </c>
      <c r="B12" s="154" t="s">
        <v>107</v>
      </c>
      <c r="C12" s="154"/>
      <c r="D12" s="154"/>
      <c r="E12" s="154"/>
      <c r="F12" s="154"/>
      <c r="H12" s="157"/>
      <c r="I12" s="158"/>
    </row>
    <row r="13" spans="1:10" ht="15" customHeight="1" x14ac:dyDescent="0.25">
      <c r="B13" s="155" t="s">
        <v>5</v>
      </c>
      <c r="C13" s="155"/>
      <c r="D13" s="155"/>
      <c r="E13" s="155"/>
      <c r="F13" s="155"/>
      <c r="G13" s="2"/>
      <c r="H13" s="159"/>
      <c r="I13" s="160"/>
    </row>
    <row r="14" spans="1:10" x14ac:dyDescent="0.25">
      <c r="G14" s="7" t="s">
        <v>6</v>
      </c>
      <c r="H14" s="134" t="s">
        <v>64</v>
      </c>
      <c r="I14" s="134"/>
    </row>
    <row r="15" spans="1:10" ht="18" customHeight="1" x14ac:dyDescent="0.25">
      <c r="A15" s="8"/>
      <c r="F15" s="7" t="s">
        <v>7</v>
      </c>
      <c r="G15" s="14" t="s">
        <v>8</v>
      </c>
      <c r="H15" s="134" t="s">
        <v>96</v>
      </c>
      <c r="I15" s="153"/>
    </row>
    <row r="16" spans="1:10" ht="18" customHeight="1" x14ac:dyDescent="0.25">
      <c r="A16" s="8"/>
      <c r="F16" s="7"/>
      <c r="G16" s="14" t="s">
        <v>9</v>
      </c>
      <c r="H16" s="163">
        <v>45943</v>
      </c>
      <c r="I16" s="163"/>
      <c r="J16" s="27"/>
    </row>
    <row r="17" spans="1:11" ht="18" hidden="1" customHeight="1" x14ac:dyDescent="0.25">
      <c r="A17" s="8"/>
      <c r="E17" s="1" t="s">
        <v>66</v>
      </c>
      <c r="F17" s="7"/>
      <c r="G17" s="58" t="s">
        <v>8</v>
      </c>
      <c r="H17" s="166" t="s">
        <v>103</v>
      </c>
      <c r="I17" s="167"/>
      <c r="J17" s="27"/>
    </row>
    <row r="18" spans="1:11" ht="18" hidden="1" customHeight="1" x14ac:dyDescent="0.25">
      <c r="A18" s="8"/>
      <c r="F18" s="7"/>
      <c r="G18" s="58" t="s">
        <v>9</v>
      </c>
      <c r="H18" s="168">
        <v>46132</v>
      </c>
      <c r="I18" s="168"/>
      <c r="J18" s="27"/>
    </row>
    <row r="19" spans="1:11" x14ac:dyDescent="0.25">
      <c r="C19" s="1" t="s">
        <v>23</v>
      </c>
      <c r="G19" s="7" t="s">
        <v>27</v>
      </c>
      <c r="H19" s="164" t="s">
        <v>23</v>
      </c>
      <c r="I19" s="165"/>
    </row>
    <row r="21" spans="1:11" ht="15" customHeight="1" x14ac:dyDescent="0.25">
      <c r="F21" s="137" t="s">
        <v>10</v>
      </c>
      <c r="G21" s="137" t="s">
        <v>11</v>
      </c>
      <c r="H21" s="137" t="s">
        <v>12</v>
      </c>
      <c r="I21" s="137"/>
    </row>
    <row r="22" spans="1:11" x14ac:dyDescent="0.25">
      <c r="F22" s="137"/>
      <c r="G22" s="137"/>
      <c r="H22" s="14" t="s">
        <v>28</v>
      </c>
      <c r="I22" s="14" t="s">
        <v>29</v>
      </c>
      <c r="J22" s="24"/>
    </row>
    <row r="23" spans="1:11" ht="18.95" customHeight="1" x14ac:dyDescent="0.25">
      <c r="F23" s="34">
        <f>'КС2 №1'!G18</f>
        <v>1</v>
      </c>
      <c r="G23" s="68">
        <f>'КС2 №1'!H18</f>
        <v>46178</v>
      </c>
      <c r="H23" s="68">
        <f>'КС2 №1'!I18</f>
        <v>46143</v>
      </c>
      <c r="I23" s="68">
        <f>G23</f>
        <v>46178</v>
      </c>
    </row>
    <row r="25" spans="1:11" x14ac:dyDescent="0.25">
      <c r="A25" s="127" t="s">
        <v>30</v>
      </c>
      <c r="B25" s="127"/>
      <c r="C25" s="127"/>
      <c r="D25" s="127"/>
      <c r="E25" s="127"/>
      <c r="F25" s="127"/>
      <c r="G25" s="127"/>
      <c r="H25" s="127"/>
      <c r="I25" s="127"/>
    </row>
    <row r="26" spans="1:11" x14ac:dyDescent="0.25">
      <c r="A26" s="127" t="s">
        <v>31</v>
      </c>
      <c r="B26" s="127"/>
      <c r="C26" s="127"/>
      <c r="D26" s="127"/>
      <c r="E26" s="127"/>
      <c r="F26" s="127"/>
      <c r="G26" s="127"/>
      <c r="H26" s="127"/>
      <c r="I26" s="127"/>
    </row>
    <row r="28" spans="1:11" ht="18.75" customHeight="1" x14ac:dyDescent="0.25">
      <c r="A28" s="178" t="s">
        <v>16</v>
      </c>
      <c r="B28" s="178" t="s">
        <v>32</v>
      </c>
      <c r="C28" s="178"/>
      <c r="D28" s="178"/>
      <c r="E28" s="178"/>
      <c r="F28" s="178" t="s">
        <v>25</v>
      </c>
      <c r="G28" s="178" t="s">
        <v>33</v>
      </c>
      <c r="H28" s="178"/>
      <c r="I28" s="178"/>
    </row>
    <row r="29" spans="1:11" ht="35.25" customHeight="1" x14ac:dyDescent="0.25">
      <c r="A29" s="178"/>
      <c r="B29" s="178"/>
      <c r="C29" s="178"/>
      <c r="D29" s="178"/>
      <c r="E29" s="178"/>
      <c r="F29" s="178"/>
      <c r="G29" s="44" t="s">
        <v>34</v>
      </c>
      <c r="H29" s="44" t="s">
        <v>35</v>
      </c>
      <c r="I29" s="44" t="s">
        <v>36</v>
      </c>
    </row>
    <row r="30" spans="1:11" x14ac:dyDescent="0.25">
      <c r="A30" s="14">
        <v>1</v>
      </c>
      <c r="B30" s="153">
        <v>2</v>
      </c>
      <c r="C30" s="153"/>
      <c r="D30" s="153"/>
      <c r="E30" s="153"/>
      <c r="F30" s="14">
        <v>3</v>
      </c>
      <c r="G30" s="14">
        <v>4</v>
      </c>
      <c r="H30" s="14">
        <v>5</v>
      </c>
      <c r="I30" s="14">
        <v>6</v>
      </c>
    </row>
    <row r="31" spans="1:11" ht="18.75" customHeight="1" x14ac:dyDescent="0.25">
      <c r="A31" s="16" t="s">
        <v>37</v>
      </c>
      <c r="B31" s="176" t="s">
        <v>38</v>
      </c>
      <c r="C31" s="176"/>
      <c r="D31" s="176"/>
      <c r="E31" s="176"/>
      <c r="F31" s="16"/>
      <c r="G31" s="18" t="e">
        <f>G33</f>
        <v>#REF!</v>
      </c>
      <c r="H31" s="18" t="e">
        <f>H33</f>
        <v>#REF!</v>
      </c>
      <c r="I31" s="18" t="e">
        <f>I32</f>
        <v>#REF!</v>
      </c>
      <c r="J31" s="47"/>
      <c r="K31" s="24"/>
    </row>
    <row r="32" spans="1:11" ht="49.5" customHeight="1" x14ac:dyDescent="0.25">
      <c r="A32" s="46" t="s">
        <v>19</v>
      </c>
      <c r="B32" s="177" t="s">
        <v>39</v>
      </c>
      <c r="C32" s="177"/>
      <c r="D32" s="177"/>
      <c r="E32" s="177"/>
      <c r="F32" s="17"/>
      <c r="G32" s="19" t="e">
        <f>G33</f>
        <v>#REF!</v>
      </c>
      <c r="H32" s="19" t="e">
        <f>H33</f>
        <v>#REF!</v>
      </c>
      <c r="I32" s="19" t="e">
        <f>I33</f>
        <v>#REF!</v>
      </c>
      <c r="J32" s="24"/>
      <c r="K32" s="24">
        <v>2431645.0699999998</v>
      </c>
    </row>
    <row r="33" spans="1:11" ht="18.75" customHeight="1" x14ac:dyDescent="0.25">
      <c r="A33" s="174" t="s">
        <v>40</v>
      </c>
      <c r="B33" s="174"/>
      <c r="C33" s="174"/>
      <c r="D33" s="174"/>
      <c r="E33" s="174"/>
      <c r="F33" s="174"/>
      <c r="G33" s="18" t="e">
        <f>I33</f>
        <v>#REF!</v>
      </c>
      <c r="H33" s="18" t="e">
        <f>I33</f>
        <v>#REF!</v>
      </c>
      <c r="I33" s="18" t="e">
        <f>I35-I34</f>
        <v>#REF!</v>
      </c>
      <c r="J33" s="24"/>
      <c r="K33" s="24">
        <v>534961.92000000004</v>
      </c>
    </row>
    <row r="34" spans="1:11" ht="18.75" customHeight="1" x14ac:dyDescent="0.25">
      <c r="A34" s="175" t="s">
        <v>68</v>
      </c>
      <c r="B34" s="175"/>
      <c r="C34" s="175"/>
      <c r="D34" s="175"/>
      <c r="E34" s="175"/>
      <c r="F34" s="175"/>
      <c r="G34" s="19">
        <f>I34</f>
        <v>536755.03</v>
      </c>
      <c r="H34" s="19">
        <f>I34</f>
        <v>536755.03</v>
      </c>
      <c r="I34" s="19">
        <f>'КС2 №1'!J70</f>
        <v>536755.03</v>
      </c>
      <c r="J34" s="24"/>
      <c r="K34" s="24">
        <v>2966606.99</v>
      </c>
    </row>
    <row r="35" spans="1:11" ht="18.75" customHeight="1" x14ac:dyDescent="0.25">
      <c r="A35" s="174" t="s">
        <v>41</v>
      </c>
      <c r="B35" s="174"/>
      <c r="C35" s="174"/>
      <c r="D35" s="174"/>
      <c r="E35" s="174"/>
      <c r="F35" s="174"/>
      <c r="G35" s="18" t="e">
        <f>I35</f>
        <v>#REF!</v>
      </c>
      <c r="H35" s="18" t="e">
        <f>I35</f>
        <v>#REF!</v>
      </c>
      <c r="I35" s="18" t="e">
        <f>'КС2 №1'!#REF!</f>
        <v>#REF!</v>
      </c>
      <c r="J35" s="24"/>
      <c r="K35" s="24">
        <v>148330.35</v>
      </c>
    </row>
    <row r="36" spans="1:11" ht="18.75" customHeight="1" x14ac:dyDescent="0.25">
      <c r="A36" s="169" t="s">
        <v>45</v>
      </c>
      <c r="B36" s="169"/>
      <c r="C36" s="169"/>
      <c r="D36" s="169"/>
      <c r="E36" s="169"/>
      <c r="F36" s="169"/>
      <c r="G36" s="19" t="e">
        <f t="shared" ref="G36:H36" si="0">ROUND(0.05*G35,2)</f>
        <v>#REF!</v>
      </c>
      <c r="H36" s="19" t="e">
        <f t="shared" si="0"/>
        <v>#REF!</v>
      </c>
      <c r="I36" s="19" t="e">
        <f>ROUND(0.05*I35,2)</f>
        <v>#REF!</v>
      </c>
      <c r="J36" s="24"/>
      <c r="K36" s="24"/>
    </row>
    <row r="37" spans="1:11" ht="18.75" customHeight="1" x14ac:dyDescent="0.25">
      <c r="A37" s="169" t="s">
        <v>69</v>
      </c>
      <c r="B37" s="169"/>
      <c r="C37" s="169"/>
      <c r="D37" s="169"/>
      <c r="E37" s="169"/>
      <c r="F37" s="169"/>
      <c r="G37" s="19"/>
      <c r="H37" s="19"/>
      <c r="I37" s="19"/>
      <c r="J37" s="24"/>
      <c r="K37" s="24">
        <v>800000</v>
      </c>
    </row>
    <row r="38" spans="1:11" ht="18.75" customHeight="1" x14ac:dyDescent="0.25">
      <c r="A38" s="171" t="s">
        <v>70</v>
      </c>
      <c r="B38" s="172"/>
      <c r="C38" s="172"/>
      <c r="D38" s="172"/>
      <c r="E38" s="172"/>
      <c r="F38" s="173"/>
      <c r="G38" s="19"/>
      <c r="H38" s="19"/>
      <c r="I38" s="19">
        <v>800000</v>
      </c>
      <c r="J38" s="24"/>
      <c r="K38" s="24"/>
    </row>
    <row r="39" spans="1:11" ht="18.75" customHeight="1" x14ac:dyDescent="0.25">
      <c r="A39" s="169" t="s">
        <v>71</v>
      </c>
      <c r="B39" s="169"/>
      <c r="C39" s="169"/>
      <c r="D39" s="169"/>
      <c r="E39" s="169"/>
      <c r="F39" s="169"/>
      <c r="G39" s="19"/>
      <c r="H39" s="19"/>
      <c r="I39" s="19"/>
      <c r="J39" s="24"/>
      <c r="K39" s="24"/>
    </row>
    <row r="40" spans="1:11" ht="18.75" customHeight="1" x14ac:dyDescent="0.25">
      <c r="A40" s="169" t="s">
        <v>72</v>
      </c>
      <c r="B40" s="169"/>
      <c r="C40" s="169"/>
      <c r="D40" s="169"/>
      <c r="E40" s="169"/>
      <c r="F40" s="169"/>
      <c r="G40" s="19"/>
      <c r="H40" s="19"/>
      <c r="I40" s="19"/>
      <c r="J40" s="24"/>
      <c r="K40" s="24"/>
    </row>
    <row r="41" spans="1:11" ht="18.75" customHeight="1" x14ac:dyDescent="0.25">
      <c r="A41" s="169" t="s">
        <v>73</v>
      </c>
      <c r="B41" s="169"/>
      <c r="C41" s="169"/>
      <c r="D41" s="169"/>
      <c r="E41" s="169"/>
      <c r="F41" s="169"/>
      <c r="G41" s="19"/>
      <c r="H41" s="19"/>
      <c r="I41" s="19"/>
      <c r="J41" s="24"/>
      <c r="K41" s="24">
        <v>2018276.64</v>
      </c>
    </row>
    <row r="42" spans="1:11" ht="18.75" customHeight="1" x14ac:dyDescent="0.25">
      <c r="A42" s="169" t="s">
        <v>74</v>
      </c>
      <c r="B42" s="169"/>
      <c r="C42" s="169"/>
      <c r="D42" s="169"/>
      <c r="E42" s="169"/>
      <c r="F42" s="169"/>
      <c r="G42" s="19"/>
      <c r="H42" s="19"/>
      <c r="I42" s="19" t="e">
        <f>I35-I36-I38</f>
        <v>#REF!</v>
      </c>
      <c r="J42" s="24"/>
      <c r="K42" s="24">
        <v>363951.53</v>
      </c>
    </row>
    <row r="43" spans="1:11" ht="18.75" customHeight="1" x14ac:dyDescent="0.25">
      <c r="A43" s="169" t="s">
        <v>67</v>
      </c>
      <c r="B43" s="169"/>
      <c r="C43" s="169"/>
      <c r="D43" s="169"/>
      <c r="E43" s="169"/>
      <c r="F43" s="169"/>
      <c r="G43" s="19"/>
      <c r="H43" s="19"/>
      <c r="I43" s="19" t="e">
        <f>I42/122*22</f>
        <v>#REF!</v>
      </c>
      <c r="J43" s="24"/>
      <c r="K43" s="24"/>
    </row>
    <row r="44" spans="1:11" x14ac:dyDescent="0.25">
      <c r="D44" s="3"/>
      <c r="E44" s="3"/>
      <c r="F44" s="3"/>
      <c r="G44" s="3"/>
      <c r="I44" s="3"/>
    </row>
    <row r="45" spans="1:11" x14ac:dyDescent="0.25">
      <c r="D45" s="3"/>
      <c r="E45" s="3"/>
      <c r="F45" s="3"/>
      <c r="G45" s="3"/>
      <c r="I45" s="3"/>
    </row>
    <row r="46" spans="1:11" x14ac:dyDescent="0.25">
      <c r="D46" s="3"/>
      <c r="E46" s="3"/>
      <c r="F46" s="3"/>
      <c r="G46" s="3"/>
      <c r="I46" s="35"/>
    </row>
    <row r="47" spans="1:11" x14ac:dyDescent="0.25">
      <c r="D47" s="3"/>
      <c r="E47" s="3"/>
      <c r="F47" s="3"/>
      <c r="G47" s="3"/>
      <c r="I47" s="3"/>
    </row>
    <row r="48" spans="1:11" x14ac:dyDescent="0.25">
      <c r="D48" s="3"/>
      <c r="E48" s="3"/>
      <c r="F48" s="3"/>
      <c r="G48" s="3"/>
      <c r="I48" s="3"/>
    </row>
    <row r="49" spans="1:9" x14ac:dyDescent="0.25">
      <c r="D49" s="3"/>
      <c r="E49" s="3"/>
      <c r="F49" s="3"/>
      <c r="G49" s="3"/>
      <c r="I49" s="3"/>
    </row>
    <row r="50" spans="1:9" x14ac:dyDescent="0.25">
      <c r="A50" s="8" t="s">
        <v>98</v>
      </c>
      <c r="D50" s="3"/>
      <c r="E50" s="3"/>
      <c r="F50" s="3"/>
      <c r="G50" s="3"/>
      <c r="I50" s="3"/>
    </row>
    <row r="51" spans="1:9" x14ac:dyDescent="0.25">
      <c r="A51" s="8" t="s">
        <v>52</v>
      </c>
      <c r="D51" s="170"/>
      <c r="E51" s="170"/>
      <c r="F51" s="170"/>
      <c r="G51" s="3"/>
      <c r="H51" s="15" t="s">
        <v>62</v>
      </c>
      <c r="I51" s="42"/>
    </row>
    <row r="52" spans="1:9" x14ac:dyDescent="0.25">
      <c r="A52" s="8" t="s">
        <v>47</v>
      </c>
      <c r="C52" s="32"/>
      <c r="D52" s="130" t="s">
        <v>42</v>
      </c>
      <c r="E52" s="130"/>
      <c r="F52" s="130"/>
      <c r="G52" s="32"/>
      <c r="H52" s="1" t="s">
        <v>43</v>
      </c>
      <c r="I52" s="32"/>
    </row>
    <row r="53" spans="1:9" x14ac:dyDescent="0.25">
      <c r="A53" s="12" t="s">
        <v>20</v>
      </c>
    </row>
    <row r="56" spans="1:9" ht="15.75" x14ac:dyDescent="0.25">
      <c r="A56" s="38" t="s">
        <v>100</v>
      </c>
    </row>
    <row r="57" spans="1:9" ht="15.75" x14ac:dyDescent="0.25">
      <c r="A57" s="38" t="s">
        <v>101</v>
      </c>
      <c r="H57" s="4"/>
    </row>
    <row r="58" spans="1:9" ht="15.75" x14ac:dyDescent="0.25">
      <c r="A58" s="38" t="s">
        <v>47</v>
      </c>
      <c r="D58" s="170"/>
      <c r="E58" s="170"/>
      <c r="F58" s="170"/>
      <c r="H58" s="15" t="s">
        <v>102</v>
      </c>
      <c r="I58" s="48"/>
    </row>
    <row r="59" spans="1:9" x14ac:dyDescent="0.25">
      <c r="A59" s="31"/>
      <c r="D59" s="130" t="s">
        <v>42</v>
      </c>
      <c r="E59" s="130"/>
      <c r="F59" s="130"/>
      <c r="H59" s="1" t="s">
        <v>43</v>
      </c>
    </row>
    <row r="60" spans="1:9" x14ac:dyDescent="0.25">
      <c r="A60" s="12" t="s">
        <v>20</v>
      </c>
    </row>
  </sheetData>
  <mergeCells count="47">
    <mergeCell ref="B30:E30"/>
    <mergeCell ref="B31:E31"/>
    <mergeCell ref="B32:E32"/>
    <mergeCell ref="A25:I25"/>
    <mergeCell ref="A26:I26"/>
    <mergeCell ref="A28:A29"/>
    <mergeCell ref="B28:E29"/>
    <mergeCell ref="F28:F29"/>
    <mergeCell ref="G28:I28"/>
    <mergeCell ref="A37:F37"/>
    <mergeCell ref="A38:F38"/>
    <mergeCell ref="A39:F39"/>
    <mergeCell ref="A33:F33"/>
    <mergeCell ref="A34:F34"/>
    <mergeCell ref="A35:F35"/>
    <mergeCell ref="A36:F36"/>
    <mergeCell ref="A40:F40"/>
    <mergeCell ref="A41:F41"/>
    <mergeCell ref="D59:F59"/>
    <mergeCell ref="A42:F42"/>
    <mergeCell ref="A43:F43"/>
    <mergeCell ref="D51:F51"/>
    <mergeCell ref="D52:F52"/>
    <mergeCell ref="D58:F58"/>
    <mergeCell ref="H16:I16"/>
    <mergeCell ref="H19:I19"/>
    <mergeCell ref="F21:F22"/>
    <mergeCell ref="G21:G22"/>
    <mergeCell ref="H21:I21"/>
    <mergeCell ref="H17:I17"/>
    <mergeCell ref="H18:I18"/>
    <mergeCell ref="H15:I15"/>
    <mergeCell ref="H2:I2"/>
    <mergeCell ref="H3:I3"/>
    <mergeCell ref="H4:I5"/>
    <mergeCell ref="B5:F5"/>
    <mergeCell ref="B6:F6"/>
    <mergeCell ref="H6:I7"/>
    <mergeCell ref="B7:F7"/>
    <mergeCell ref="B8:F8"/>
    <mergeCell ref="B12:F12"/>
    <mergeCell ref="B13:F13"/>
    <mergeCell ref="H14:I14"/>
    <mergeCell ref="B10:F10"/>
    <mergeCell ref="B11:F11"/>
    <mergeCell ref="H12:I13"/>
    <mergeCell ref="H8:I11"/>
  </mergeCells>
  <pageMargins left="0.31496062992125984" right="0.27559055118110237" top="0.39370078740157483" bottom="0.31496062992125984" header="0.19685039370078741" footer="0.19685039370078741"/>
  <pageSetup paperSize="9" scale="6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3</vt:i4>
      </vt:variant>
    </vt:vector>
  </HeadingPairs>
  <TitlesOfParts>
    <vt:vector size="5" baseType="lpstr">
      <vt:lpstr>КС2 №1</vt:lpstr>
      <vt:lpstr>КС3 №1</vt:lpstr>
      <vt:lpstr>'КС2 №1'!Заголовки_для_печати</vt:lpstr>
      <vt:lpstr>'КС2 №1'!Область_печати</vt:lpstr>
      <vt:lpstr>'КС3 №1'!Область_печати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Софья</dc:creator>
  <cp:lastModifiedBy>MSI</cp:lastModifiedBy>
  <cp:lastPrinted>2026-05-27T09:54:38Z</cp:lastPrinted>
  <dcterms:created xsi:type="dcterms:W3CDTF">2024-10-28T15:22:15Z</dcterms:created>
  <dcterms:modified xsi:type="dcterms:W3CDTF">2026-06-04T12:18:39Z</dcterms:modified>
</cp:coreProperties>
</file>