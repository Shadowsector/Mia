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AEFF50B0-F9B8-42FD-8758-884E2B0CBC0F}" xr6:coauthVersionLast="47" xr6:coauthVersionMax="47" xr10:uidLastSave="{00000000-0000-0000-0000-000000000000}"/>
  <bookViews>
    <workbookView xWindow="4680" yWindow="2430" windowWidth="18195" windowHeight="19170"/>
  </bookViews>
  <sheets>
    <sheet name="КП" sheetId="10" r:id="rId1"/>
  </sheets>
  <definedNames>
    <definedName name="Excel_BuiltIn_Print_Area_2" localSheetId="0">#REF!</definedName>
    <definedName name="Excel_BuiltIn_Print_Area_2">#REF!</definedName>
    <definedName name="_xlnm.Print_Area" localSheetId="0">КП!$A$1:$K$93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0" l="1"/>
  <c r="F51" i="10"/>
  <c r="F20" i="10"/>
  <c r="F57" i="10"/>
  <c r="F63" i="10"/>
  <c r="I63" i="10"/>
  <c r="F62" i="10"/>
  <c r="F60" i="10"/>
  <c r="I60" i="10"/>
  <c r="F59" i="10"/>
  <c r="I59" i="10"/>
  <c r="F58" i="10"/>
  <c r="I58" i="10"/>
  <c r="F56" i="10"/>
  <c r="G56" i="10"/>
  <c r="F55" i="10"/>
  <c r="I55" i="10"/>
  <c r="G55" i="10"/>
  <c r="F54" i="10"/>
  <c r="G54" i="10"/>
  <c r="F47" i="10"/>
  <c r="G47" i="10"/>
  <c r="F46" i="10"/>
  <c r="G46" i="10"/>
  <c r="F44" i="10"/>
  <c r="I44" i="10"/>
  <c r="F43" i="10"/>
  <c r="G43" i="10"/>
  <c r="F42" i="10"/>
  <c r="I42" i="10"/>
  <c r="F41" i="10"/>
  <c r="G41" i="10"/>
  <c r="F40" i="10"/>
  <c r="G40" i="10"/>
  <c r="F39" i="10"/>
  <c r="G39" i="10"/>
  <c r="H77" i="10"/>
  <c r="I73" i="10"/>
  <c r="H63" i="10"/>
  <c r="G64" i="10"/>
  <c r="H64" i="10"/>
  <c r="I64" i="10"/>
  <c r="G65" i="10"/>
  <c r="H65" i="10"/>
  <c r="I65" i="10"/>
  <c r="H66" i="10"/>
  <c r="G67" i="10"/>
  <c r="H67" i="10"/>
  <c r="I67" i="10"/>
  <c r="J67" i="10"/>
  <c r="G68" i="10"/>
  <c r="H68" i="10"/>
  <c r="I68" i="10"/>
  <c r="J68" i="10"/>
  <c r="G69" i="10"/>
  <c r="H69" i="10"/>
  <c r="I69" i="10"/>
  <c r="G70" i="10"/>
  <c r="H70" i="10"/>
  <c r="I70" i="10"/>
  <c r="G71" i="10"/>
  <c r="H71" i="10"/>
  <c r="I71" i="10"/>
  <c r="J71" i="10"/>
  <c r="G72" i="10"/>
  <c r="H72" i="10"/>
  <c r="I72" i="10"/>
  <c r="J72" i="10"/>
  <c r="G73" i="10"/>
  <c r="H73" i="10"/>
  <c r="G74" i="10"/>
  <c r="H74" i="10"/>
  <c r="I74" i="10"/>
  <c r="G75" i="10"/>
  <c r="H75" i="10"/>
  <c r="I75" i="10"/>
  <c r="G76" i="10"/>
  <c r="H76" i="10"/>
  <c r="I76" i="10"/>
  <c r="G77" i="10"/>
  <c r="I77" i="10"/>
  <c r="J77" i="10"/>
  <c r="G78" i="10"/>
  <c r="H78" i="10"/>
  <c r="I78" i="10"/>
  <c r="J78" i="10"/>
  <c r="G79" i="10"/>
  <c r="H79" i="10"/>
  <c r="I79" i="10"/>
  <c r="J79" i="10"/>
  <c r="G80" i="10"/>
  <c r="H80" i="10"/>
  <c r="I80" i="10"/>
  <c r="J80" i="10"/>
  <c r="G81" i="10"/>
  <c r="H81" i="10"/>
  <c r="I81" i="10"/>
  <c r="G82" i="10"/>
  <c r="H82" i="10"/>
  <c r="I82" i="10"/>
  <c r="J82" i="10"/>
  <c r="G83" i="10"/>
  <c r="H83" i="10"/>
  <c r="I83" i="10"/>
  <c r="G84" i="10"/>
  <c r="H84" i="10"/>
  <c r="I84" i="10"/>
  <c r="G85" i="10"/>
  <c r="H85" i="10"/>
  <c r="I85" i="10"/>
  <c r="G86" i="10"/>
  <c r="H86" i="10"/>
  <c r="I86" i="10"/>
  <c r="J86" i="10"/>
  <c r="I62" i="10"/>
  <c r="H62" i="10"/>
  <c r="J62" i="10"/>
  <c r="G62" i="10"/>
  <c r="H55" i="10"/>
  <c r="H56" i="10"/>
  <c r="H57" i="10"/>
  <c r="H58" i="10"/>
  <c r="H59" i="10"/>
  <c r="H60" i="10"/>
  <c r="H47" i="10"/>
  <c r="H48" i="10"/>
  <c r="I48" i="10"/>
  <c r="J48" i="10"/>
  <c r="H49" i="10"/>
  <c r="I49" i="10"/>
  <c r="J49" i="10"/>
  <c r="H50" i="10"/>
  <c r="I50" i="10"/>
  <c r="J50" i="10"/>
  <c r="H51" i="10"/>
  <c r="H40" i="10"/>
  <c r="H41" i="10"/>
  <c r="H42" i="10"/>
  <c r="H43" i="10"/>
  <c r="H44" i="10"/>
  <c r="H26" i="10"/>
  <c r="I26" i="10"/>
  <c r="H27" i="10"/>
  <c r="I27" i="10"/>
  <c r="J27" i="10"/>
  <c r="H28" i="10"/>
  <c r="I28" i="10"/>
  <c r="J28" i="10"/>
  <c r="H29" i="10"/>
  <c r="I29" i="10"/>
  <c r="J29" i="10"/>
  <c r="H30" i="10"/>
  <c r="I30" i="10"/>
  <c r="J30" i="10"/>
  <c r="H31" i="10"/>
  <c r="I31" i="10"/>
  <c r="H32" i="10"/>
  <c r="I32" i="10"/>
  <c r="J32" i="10"/>
  <c r="H33" i="10"/>
  <c r="I33" i="10"/>
  <c r="J33" i="10"/>
  <c r="H34" i="10"/>
  <c r="I34" i="10"/>
  <c r="J34" i="10"/>
  <c r="H35" i="10"/>
  <c r="I35" i="10"/>
  <c r="J35" i="10"/>
  <c r="H36" i="10"/>
  <c r="I36" i="10"/>
  <c r="J36" i="10"/>
  <c r="H20" i="10"/>
  <c r="I20" i="10"/>
  <c r="J20" i="10"/>
  <c r="H21" i="10"/>
  <c r="J21" i="10"/>
  <c r="I21" i="10"/>
  <c r="H22" i="10"/>
  <c r="I22" i="10"/>
  <c r="H23" i="10"/>
  <c r="I23" i="10"/>
  <c r="J23" i="10"/>
  <c r="H54" i="10"/>
  <c r="G50" i="10"/>
  <c r="G49" i="10"/>
  <c r="G48" i="10"/>
  <c r="H46" i="10"/>
  <c r="I39" i="10"/>
  <c r="H39" i="10"/>
  <c r="G36" i="10"/>
  <c r="G35" i="10"/>
  <c r="G34" i="10"/>
  <c r="G33" i="10"/>
  <c r="G32" i="10"/>
  <c r="G31" i="10"/>
  <c r="G30" i="10"/>
  <c r="G29" i="10"/>
  <c r="G28" i="10"/>
  <c r="G27" i="10"/>
  <c r="G26" i="10"/>
  <c r="I25" i="10"/>
  <c r="H25" i="10"/>
  <c r="G25" i="10"/>
  <c r="G23" i="10"/>
  <c r="G22" i="10"/>
  <c r="G21" i="10"/>
  <c r="G20" i="10"/>
  <c r="I19" i="10"/>
  <c r="H19" i="10"/>
  <c r="J19" i="10"/>
  <c r="G19" i="10"/>
  <c r="G44" i="10"/>
  <c r="J85" i="10"/>
  <c r="J81" i="10"/>
  <c r="J76" i="10"/>
  <c r="G42" i="10"/>
  <c r="I43" i="10"/>
  <c r="G60" i="10"/>
  <c r="G59" i="10"/>
  <c r="J31" i="10"/>
  <c r="J73" i="10"/>
  <c r="I41" i="10"/>
  <c r="J41" i="10"/>
  <c r="J43" i="10"/>
  <c r="I40" i="10"/>
  <c r="I38" i="10"/>
  <c r="J74" i="10"/>
  <c r="H38" i="10"/>
  <c r="J75" i="10"/>
  <c r="F66" i="10"/>
  <c r="G66" i="10"/>
  <c r="G58" i="10"/>
  <c r="J69" i="10"/>
  <c r="I47" i="10"/>
  <c r="J47" i="10"/>
  <c r="H45" i="10"/>
  <c r="J55" i="10"/>
  <c r="J70" i="10"/>
  <c r="J84" i="10"/>
  <c r="H18" i="10"/>
  <c r="H61" i="10"/>
  <c r="J58" i="10"/>
  <c r="J59" i="10"/>
  <c r="H24" i="10"/>
  <c r="J39" i="10"/>
  <c r="J42" i="10"/>
  <c r="J60" i="10"/>
  <c r="I18" i="10"/>
  <c r="I46" i="10"/>
  <c r="J46" i="10"/>
  <c r="J65" i="10"/>
  <c r="I24" i="10"/>
  <c r="I56" i="10"/>
  <c r="J56" i="10"/>
  <c r="J25" i="10"/>
  <c r="I54" i="10"/>
  <c r="J54" i="10"/>
  <c r="J44" i="10"/>
  <c r="J83" i="10"/>
  <c r="J64" i="10"/>
  <c r="J63" i="10"/>
  <c r="I57" i="10"/>
  <c r="J57" i="10"/>
  <c r="G57" i="10"/>
  <c r="I51" i="10"/>
  <c r="G51" i="10"/>
  <c r="J22" i="10"/>
  <c r="J18" i="10"/>
  <c r="J40" i="10"/>
  <c r="H53" i="10"/>
  <c r="J26" i="10"/>
  <c r="G63" i="10"/>
  <c r="I66" i="10"/>
  <c r="J66" i="10"/>
  <c r="H87" i="10"/>
  <c r="H88" i="10"/>
  <c r="H89" i="10"/>
  <c r="J38" i="10"/>
  <c r="J53" i="10"/>
  <c r="J24" i="10"/>
  <c r="I45" i="10"/>
  <c r="J51" i="10"/>
  <c r="J45" i="10"/>
  <c r="I53" i="10"/>
  <c r="J61" i="10"/>
  <c r="J87" i="10"/>
  <c r="J88" i="10"/>
  <c r="J89" i="10"/>
  <c r="I61" i="10"/>
  <c r="I87" i="10"/>
  <c r="I88" i="10"/>
  <c r="I89" i="10"/>
</calcChain>
</file>

<file path=xl/sharedStrings.xml><?xml version="1.0" encoding="utf-8"?>
<sst xmlns="http://schemas.openxmlformats.org/spreadsheetml/2006/main" count="231" uniqueCount="134">
  <si>
    <t>№ п/п</t>
  </si>
  <si>
    <t>Наименование</t>
  </si>
  <si>
    <t>Кол-во</t>
  </si>
  <si>
    <t>Итого</t>
  </si>
  <si>
    <t>Ед. изм.</t>
  </si>
  <si>
    <t>Материалы</t>
  </si>
  <si>
    <t>СМР</t>
  </si>
  <si>
    <t>1.1</t>
  </si>
  <si>
    <t>1.2</t>
  </si>
  <si>
    <t>КОММЕРЧЕСКОЕ ПРЕДЛОЖЕНИЕ</t>
  </si>
  <si>
    <t>Примечания</t>
  </si>
  <si>
    <t>1</t>
  </si>
  <si>
    <t>м</t>
  </si>
  <si>
    <t>шт</t>
  </si>
  <si>
    <t xml:space="preserve">Монтаж муфт оптических </t>
  </si>
  <si>
    <t>Демонтаж кабеля ВОК-16</t>
  </si>
  <si>
    <t>Демонтаж проволоки биметаллической</t>
  </si>
  <si>
    <t xml:space="preserve">Демонтаж радиостойки </t>
  </si>
  <si>
    <t>Прокладка кабеля связи ВОК марки ОКСМ-01-4х4Е3-(12.0)</t>
  </si>
  <si>
    <t>1.3</t>
  </si>
  <si>
    <t>Демонтаж оборудования</t>
  </si>
  <si>
    <t>2</t>
  </si>
  <si>
    <t>Монтаж оборудования</t>
  </si>
  <si>
    <t>2.1</t>
  </si>
  <si>
    <t>2.2</t>
  </si>
  <si>
    <t>2.3</t>
  </si>
  <si>
    <t>Демонтаж тросов предохранительных</t>
  </si>
  <si>
    <t>Демонтаж проволоки БСМ-1-4</t>
  </si>
  <si>
    <t>Демонтаж проволоки БСМ-1-3</t>
  </si>
  <si>
    <t>Демонтаж радиостойки РС2,5</t>
  </si>
  <si>
    <t>Демонтаж радиостойки РС-08</t>
  </si>
  <si>
    <t>Демонтаж абонентских трансформаторов</t>
  </si>
  <si>
    <t>1.4</t>
  </si>
  <si>
    <t>1.5</t>
  </si>
  <si>
    <t>1.6</t>
  </si>
  <si>
    <t>2.4</t>
  </si>
  <si>
    <t>2.5</t>
  </si>
  <si>
    <t>2.6</t>
  </si>
  <si>
    <t>Монтаж тросов предохранительных</t>
  </si>
  <si>
    <t>Монтаж проволоки БСМ-1-3</t>
  </si>
  <si>
    <t>Установка траверс 4-х штырных</t>
  </si>
  <si>
    <t>Установка изоляторов ТФ-16</t>
  </si>
  <si>
    <t>Измерение сопротивления изоляции участка</t>
  </si>
  <si>
    <t>уч</t>
  </si>
  <si>
    <t>Измерение собственного затухания, входного сопротивления и уровня помех (до 150кГц) на участке</t>
  </si>
  <si>
    <t>2.7</t>
  </si>
  <si>
    <t>на выполнение работ по демонтажу и переустройству наружных сетей связи (ФГУП РСВО)</t>
  </si>
  <si>
    <r>
      <t xml:space="preserve">Цена за единицу, руб. 
</t>
    </r>
    <r>
      <rPr>
        <b/>
        <sz val="10"/>
        <color indexed="10"/>
        <rFont val="Times New Roman"/>
        <family val="1"/>
        <charset val="204"/>
      </rPr>
      <t>(без НДС)</t>
    </r>
  </si>
  <si>
    <r>
      <t xml:space="preserve">Общая стоимость, руб. 
</t>
    </r>
    <r>
      <rPr>
        <b/>
        <sz val="10"/>
        <color indexed="10"/>
        <rFont val="Times New Roman"/>
        <family val="1"/>
        <charset val="204"/>
      </rPr>
      <t>(без НДС)</t>
    </r>
  </si>
  <si>
    <t>Зажим натяжной спиральный НСО-А-12kN-12.5-13.6</t>
  </si>
  <si>
    <t>шт.</t>
  </si>
  <si>
    <t>Талреп (крюк-кольцо) D16 DIN1480</t>
  </si>
  <si>
    <t>Скоба такелажная прямая d=16мм</t>
  </si>
  <si>
    <t>Лента стальная, перфорированная, оцинкованная, с полимерным покрытием, ширина 12 мм, толщина 0,55 мм</t>
  </si>
  <si>
    <t>упак.</t>
  </si>
  <si>
    <t>Скрепа для монтажной ленты НС-20-LX (100 шт.) (Скобы для ленты)</t>
  </si>
  <si>
    <t>Маркер для модулей 0...9</t>
  </si>
  <si>
    <t>Бирка маркировочная для кабелей и проводов, типа У134 У3,5</t>
  </si>
  <si>
    <t>Натяжной клиновой зажим SUPRLAN Н 3 08-0307 (Хомут крепления предохранительного троса)</t>
  </si>
  <si>
    <t>Измерение затухания волоконно-оптического кабеля ГТС</t>
  </si>
  <si>
    <t>компл</t>
  </si>
  <si>
    <t>2.8</t>
  </si>
  <si>
    <t>2.9</t>
  </si>
  <si>
    <t>2.10</t>
  </si>
  <si>
    <t>2.11</t>
  </si>
  <si>
    <t>2.12</t>
  </si>
  <si>
    <t>Демонтаж трансформатора (Р-0.8)</t>
  </si>
  <si>
    <r>
      <t xml:space="preserve">Итого затрат на выполнение полного комплекса работ, руб. </t>
    </r>
    <r>
      <rPr>
        <b/>
        <sz val="10"/>
        <color indexed="10"/>
        <rFont val="Times New Roman"/>
        <family val="1"/>
        <charset val="204"/>
      </rPr>
      <t>без НДС</t>
    </r>
    <r>
      <rPr>
        <b/>
        <sz val="10"/>
        <rFont val="Times New Roman"/>
        <family val="1"/>
        <charset val="204"/>
      </rPr>
      <t>:</t>
    </r>
  </si>
  <si>
    <t>НДС:</t>
  </si>
  <si>
    <t>ВСЕГО затрат на выполнение полного комплекса работ, руб. с НДС:</t>
  </si>
  <si>
    <t>Объекты: Жилой дом с приспособлением подземной автостоянки под защитное сооружение гражданской обороны — «укрытие» (ЗСГО) с инженерными сетями и благоустройством территории (со сносом жилых зданий по адресам: г. Москва, район Западное Дегунино, микрорайон 11, 12, Коровинское ш., д. 33, д. 31) по адресу: г. Москва, внутригородское муниципальное образование Западное Дегунино, Коровинское шоссе, земельный участок 31/33 (Северный административный округ),
 «Жилой дом с приспособлением подземной автостоянки под защитное сооружение гражданской обороны – «укрытие» (ЗСГО) с инженерными сетями и благоустройством территории (со сносом жилых зданий по адресам: г. Москва, район Западное Дегунино, микрорайон 11, 12, Коровинское ш., д. 29 Б, Ангарская ул., д. 31, д. 29) по адресу: г. Москва внутригородское муниципальное образование Западное Дегунино, улица Ангарская, земельный участок 29 (Северный административный округ)»,
 «Жилой дом с приспособлением подземной автостоянки под защитное сооружение гражданской обороны – «укрытие» (ЗСГО) с инженерными сетями и благоустройством территории (со сносом жилых зданий по адресам: г. Москва, район Западное Дегунино, микрорайон 11, 12, Ангарская ул., д. 23 к. 4, д. 27, д. 25) по адресу: г. Москва, внутригородское муниципальное образование Западное Дегунино, улица Ангарская, земельный участок 25 (Северный административный округ)».</t>
  </si>
  <si>
    <t>ул. Ангарская, д. 25</t>
  </si>
  <si>
    <t>ул. Ангарская, д. 29</t>
  </si>
  <si>
    <t>Коровинское шоссе, д. 31, д. 33</t>
  </si>
  <si>
    <t>1.7</t>
  </si>
  <si>
    <t>Проволока биметаллическая</t>
  </si>
  <si>
    <t>Кабель волоконно-оптический (ВОК 48 ОВ)</t>
  </si>
  <si>
    <t>Кабель волоконно-оптический (ВОК 16 ОВ)</t>
  </si>
  <si>
    <t>Радиостойка РС-0,8 с абонентским трансформатором</t>
  </si>
  <si>
    <t>Радиостойка РС-2,5</t>
  </si>
  <si>
    <t>Радиостойка выводная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</si>
  <si>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</si>
  <si>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</si>
  <si>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</si>
  <si>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</si>
  <si>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</si>
  <si>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</si>
  <si>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</si>
  <si>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</si>
  <si>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</si>
  <si>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</si>
  <si>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</si>
  <si>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</si>
  <si>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</si>
  <si>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Проволока биметалическая сталемедная БСМ-1-3</t>
  </si>
  <si>
    <t>Кабель МРМП 2х1.2</t>
  </si>
  <si>
    <t>Муфта оптическая МТОК-Г3/216-1КТ3645-К ССД</t>
  </si>
  <si>
    <t>Кассета КТ-3645-К</t>
  </si>
  <si>
    <t>Радиостойка РС-08-УО-1</t>
  </si>
  <si>
    <t>Опорная гильза радиостойки ОГР</t>
  </si>
  <si>
    <t>Болт с ушком M16</t>
  </si>
  <si>
    <t>Стяжка винтовая №11</t>
  </si>
  <si>
    <t>Пластина 100х100</t>
  </si>
  <si>
    <t>Проволока оцинкованная 4 мм (ОЖ-4)</t>
  </si>
  <si>
    <t>Траверса 4-х штырная</t>
  </si>
  <si>
    <t>Траверса 4-х штырная сдвоенная</t>
  </si>
  <si>
    <t>Траверса 2-х штырная</t>
  </si>
  <si>
    <t>Изолятор керамический ТФ-16</t>
  </si>
  <si>
    <t>Солидол жировой</t>
  </si>
  <si>
    <t>кг</t>
  </si>
  <si>
    <t>Лак битумный БТ-577 ("кузбасслак")</t>
  </si>
  <si>
    <t>Мастика Гермабутил НМГ-С (18кг)</t>
  </si>
  <si>
    <t>Проволока медная ММ d=1.2-3 мм</t>
  </si>
  <si>
    <t>Лента перфорированная оцинк. "волна" PVA 12х0.55мм</t>
  </si>
  <si>
    <t>Трос 3 мм для подвеса кабеля</t>
  </si>
  <si>
    <t>Хомут крепления троса</t>
  </si>
  <si>
    <t>Талреп (крюк-кольцо) D14 (DIN1480 M14)</t>
  </si>
  <si>
    <t>Скоба такелажная</t>
  </si>
  <si>
    <t>Коуш для троса 3 мм</t>
  </si>
  <si>
    <t>Зажим пластинчатый для троса 3 мм</t>
  </si>
  <si>
    <t>48 ОВ</t>
  </si>
  <si>
    <t>16 ОВ</t>
  </si>
  <si>
    <t xml:space="preserve">207-1220-ОК-1/Н-ЖУ5-ИОС5.15 </t>
  </si>
  <si>
    <t>207-1220-ОК-1/Н-ЖУ12-НСС7</t>
  </si>
  <si>
    <t>Генеральный директор ООО "ВэллДан"</t>
  </si>
  <si>
    <t>Калачев А.С.</t>
  </si>
  <si>
    <t xml:space="preserve">OOO “ВэллДан” </t>
  </si>
  <si>
    <t>КОММЕРЧЕСКАЯ ТАЙНА</t>
  </si>
  <si>
    <t>ИНН: 7736328072</t>
  </si>
  <si>
    <t>СРО НОПРИЗ №030921/195</t>
  </si>
  <si>
    <t>СРО НОСТРОЙ № 240921/289</t>
  </si>
  <si>
    <t>+7(495)107-98-99</t>
  </si>
  <si>
    <t xml:space="preserve">info@wd. expert </t>
  </si>
  <si>
    <t>исх. №018КП/3 от 31 марта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</si>
</sst>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_-* #,##0.00&quot;р.&quot;_-;\-* #,##0.00&quot;р.&quot;_-;_-* &quot;-&quot;??&quot;р.&quot;_-;_-@_-"/>
    <numFmt numFmtId="175" formatCode="_-* #,##0_р_._-;\-* #,##0_р_._-;_-* &quot;-&quot;??_р_._-;_-@_-"/>
    <numFmt numFmtId="176" formatCode="#,##0.0"/>
    <numFmt numFmtId="191" formatCode="#,##0.00_ ;[Red]\-#,##0.00\ "/>
    <numFmt numFmtId="198" formatCode="_-* #,##0.00_-;\-* #,##0.00_-;_-* \-??_-;_-@"/>
  </numFmts>
  <fonts count="25" x14ac:knownFonts="1">
    <font>
      <sz val="10"/>
      <name val="Times New Roman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70C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70C0"/>
      <name val="Times New Roman"/>
      <family val="1"/>
      <charset val="204"/>
    </font>
    <font>
      <b/>
      <sz val="10"/>
      <color rgb="FF0070C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0">
    <xf numFmtId="0" fontId="0" fillId="0" borderId="0"/>
    <xf numFmtId="172" fontId="1" fillId="0" borderId="0" applyFont="0" applyFill="0" applyBorder="0" applyAlignment="0" applyProtection="0"/>
    <xf numFmtId="175" fontId="2" fillId="0" borderId="0" applyFill="0" applyBorder="0" applyAlignment="0" applyProtection="0"/>
    <xf numFmtId="0" fontId="5" fillId="0" borderId="0"/>
    <xf numFmtId="0" fontId="9" fillId="0" borderId="0"/>
    <xf numFmtId="0" fontId="2" fillId="0" borderId="0"/>
    <xf numFmtId="0" fontId="10" fillId="0" borderId="0"/>
    <xf numFmtId="0" fontId="3" fillId="0" borderId="0"/>
    <xf numFmtId="0" fontId="2" fillId="0" borderId="0"/>
    <xf numFmtId="176" fontId="2" fillId="0" borderId="0" applyFill="0" applyBorder="0" applyAlignment="0" applyProtection="0"/>
  </cellStyleXfs>
  <cellXfs count="106">
    <xf numFmtId="0" fontId="0" fillId="0" borderId="0" xfId="0"/>
    <xf numFmtId="172" fontId="11" fillId="0" borderId="0" xfId="1" applyFont="1" applyFill="1" applyBorder="1" applyAlignment="1" applyProtection="1">
      <alignment horizontal="center" vertical="center"/>
    </xf>
    <xf numFmtId="4" fontId="11" fillId="0" borderId="0" xfId="1" applyNumberFormat="1" applyFont="1" applyFill="1" applyBorder="1" applyAlignment="1" applyProtection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191" fontId="1" fillId="0" borderId="1" xfId="0" applyNumberFormat="1" applyFont="1" applyFill="1" applyBorder="1" applyAlignment="1">
      <alignment horizontal="center" vertical="center" wrapText="1"/>
    </xf>
    <xf numFmtId="191" fontId="1" fillId="0" borderId="1" xfId="8" applyNumberFormat="1" applyFont="1" applyBorder="1" applyAlignment="1">
      <alignment horizontal="center" vertical="center" wrapText="1"/>
    </xf>
    <xf numFmtId="49" fontId="11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172" fontId="11" fillId="0" borderId="0" xfId="1" applyFont="1" applyFill="1" applyBorder="1" applyAlignment="1" applyProtection="1">
      <alignment vertical="center"/>
    </xf>
    <xf numFmtId="4" fontId="11" fillId="0" borderId="0" xfId="1" applyNumberFormat="1" applyFont="1" applyFill="1" applyBorder="1" applyAlignment="1" applyProtection="1">
      <alignment vertical="center"/>
    </xf>
    <xf numFmtId="0" fontId="11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49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191" fontId="1" fillId="4" borderId="1" xfId="1" applyNumberFormat="1" applyFont="1" applyFill="1" applyBorder="1" applyAlignment="1" applyProtection="1">
      <alignment horizontal="center" vertical="center" wrapText="1"/>
    </xf>
    <xf numFmtId="191" fontId="1" fillId="5" borderId="1" xfId="0" applyNumberFormat="1" applyFont="1" applyFill="1" applyBorder="1" applyAlignment="1">
      <alignment horizontal="center" vertical="center" wrapText="1"/>
    </xf>
    <xf numFmtId="191" fontId="1" fillId="5" borderId="1" xfId="1" applyNumberFormat="1" applyFont="1" applyFill="1" applyBorder="1" applyAlignment="1" applyProtection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vertical="center"/>
    </xf>
    <xf numFmtId="0" fontId="15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191" fontId="1" fillId="6" borderId="1" xfId="7" applyNumberFormat="1" applyFont="1" applyFill="1" applyBorder="1" applyAlignment="1">
      <alignment horizontal="center" vertical="center" wrapText="1"/>
    </xf>
    <xf numFmtId="191" fontId="1" fillId="6" borderId="1" xfId="1" applyNumberFormat="1" applyFont="1" applyFill="1" applyBorder="1" applyAlignment="1" applyProtection="1">
      <alignment horizontal="center" vertical="center" wrapText="1"/>
    </xf>
    <xf numFmtId="191" fontId="1" fillId="6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91" fontId="7" fillId="5" borderId="1" xfId="7" applyNumberFormat="1" applyFont="1" applyFill="1" applyBorder="1" applyAlignment="1">
      <alignment horizontal="center" vertical="center" wrapText="1"/>
    </xf>
    <xf numFmtId="191" fontId="7" fillId="5" borderId="1" xfId="8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91" fontId="1" fillId="7" borderId="1" xfId="0" applyNumberFormat="1" applyFont="1" applyFill="1" applyBorder="1" applyAlignment="1">
      <alignment horizontal="center" vertical="center" wrapText="1"/>
    </xf>
    <xf numFmtId="191" fontId="1" fillId="7" borderId="1" xfId="8" applyNumberFormat="1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191" fontId="1" fillId="7" borderId="1" xfId="1" applyNumberFormat="1" applyFont="1" applyFill="1" applyBorder="1" applyAlignment="1" applyProtection="1">
      <alignment horizontal="center" vertical="center" wrapText="1"/>
    </xf>
    <xf numFmtId="0" fontId="16" fillId="0" borderId="0" xfId="0" applyFont="1" applyFill="1" applyAlignment="1">
      <alignment vertical="center" textRotation="255"/>
    </xf>
    <xf numFmtId="49" fontId="17" fillId="0" borderId="0" xfId="0" applyNumberFormat="1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1" fillId="0" borderId="0" xfId="0" applyFont="1"/>
    <xf numFmtId="49" fontId="19" fillId="0" borderId="0" xfId="0" applyNumberFormat="1" applyFont="1" applyAlignment="1">
      <alignment horizontal="right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191" fontId="7" fillId="0" borderId="0" xfId="0" applyNumberFormat="1" applyFont="1" applyFill="1" applyBorder="1" applyAlignment="1">
      <alignment horizontal="right" vertical="center" wrapText="1"/>
    </xf>
    <xf numFmtId="191" fontId="7" fillId="0" borderId="0" xfId="0" applyNumberFormat="1" applyFont="1" applyFill="1" applyBorder="1" applyAlignment="1">
      <alignment horizontal="center" vertical="center" wrapText="1"/>
    </xf>
    <xf numFmtId="191" fontId="7" fillId="0" borderId="0" xfId="1" applyNumberFormat="1" applyFont="1" applyFill="1" applyBorder="1" applyAlignment="1" applyProtection="1">
      <alignment horizontal="center" vertical="center" wrapText="1"/>
    </xf>
    <xf numFmtId="49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49" fontId="20" fillId="0" borderId="0" xfId="0" applyNumberFormat="1" applyFont="1" applyFill="1" applyBorder="1" applyAlignment="1">
      <alignment horizontal="left" vertical="center"/>
    </xf>
    <xf numFmtId="0" fontId="21" fillId="0" borderId="0" xfId="0" applyFont="1" applyFill="1" applyBorder="1" applyAlignment="1">
      <alignment vertical="center"/>
    </xf>
    <xf numFmtId="198" fontId="20" fillId="0" borderId="0" xfId="0" applyNumberFormat="1" applyFont="1" applyFill="1" applyBorder="1" applyAlignment="1">
      <alignment horizontal="right" vertical="center"/>
    </xf>
    <xf numFmtId="191" fontId="7" fillId="6" borderId="1" xfId="0" applyNumberFormat="1" applyFont="1" applyFill="1" applyBorder="1" applyAlignment="1">
      <alignment horizontal="center" vertical="center" wrapText="1"/>
    </xf>
    <xf numFmtId="191" fontId="7" fillId="6" borderId="1" xfId="1" applyNumberFormat="1" applyFont="1" applyFill="1" applyBorder="1" applyAlignment="1" applyProtection="1">
      <alignment horizontal="center" vertical="center" wrapText="1"/>
    </xf>
    <xf numFmtId="0" fontId="1" fillId="0" borderId="1" xfId="7" applyFont="1" applyBorder="1" applyAlignment="1">
      <alignment horizontal="center" vertical="center" wrapText="1"/>
    </xf>
    <xf numFmtId="4" fontId="1" fillId="0" borderId="1" xfId="1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7" borderId="1" xfId="7" applyFont="1" applyFill="1" applyBorder="1" applyAlignment="1">
      <alignment horizontal="center" vertical="center" wrapText="1"/>
    </xf>
    <xf numFmtId="4" fontId="1" fillId="7" borderId="1" xfId="1" applyNumberFormat="1" applyFont="1" applyFill="1" applyBorder="1" applyAlignment="1" applyProtection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91" fontId="7" fillId="7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 applyProtection="1">
      <alignment horizontal="center" vertical="center" wrapText="1"/>
    </xf>
    <xf numFmtId="0" fontId="7" fillId="5" borderId="1" xfId="0" applyNumberFormat="1" applyFont="1" applyFill="1" applyBorder="1" applyAlignment="1" applyProtection="1">
      <alignment vertical="center" wrapText="1"/>
    </xf>
    <xf numFmtId="0" fontId="1" fillId="5" borderId="1" xfId="0" applyNumberFormat="1" applyFont="1" applyFill="1" applyBorder="1" applyAlignment="1" applyProtection="1">
      <alignment horizontal="center" vertical="center" wrapText="1"/>
    </xf>
    <xf numFmtId="191" fontId="1" fillId="5" borderId="1" xfId="7" applyNumberFormat="1" applyFont="1" applyFill="1" applyBorder="1" applyAlignment="1">
      <alignment horizontal="center" vertical="center" wrapText="1"/>
    </xf>
    <xf numFmtId="191" fontId="7" fillId="5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191" fontId="1" fillId="4" borderId="1" xfId="8" applyNumberFormat="1" applyFont="1" applyFill="1" applyBorder="1" applyAlignment="1">
      <alignment horizontal="center" vertical="center" wrapText="1"/>
    </xf>
    <xf numFmtId="191" fontId="7" fillId="3" borderId="1" xfId="0" applyNumberFormat="1" applyFont="1" applyFill="1" applyBorder="1" applyAlignment="1">
      <alignment horizontal="center" vertical="center" wrapText="1"/>
    </xf>
    <xf numFmtId="191" fontId="23" fillId="4" borderId="1" xfId="8" applyNumberFormat="1" applyFont="1" applyFill="1" applyBorder="1" applyAlignment="1">
      <alignment horizontal="center" vertical="center" wrapText="1"/>
    </xf>
    <xf numFmtId="191" fontId="24" fillId="3" borderId="1" xfId="0" applyNumberFormat="1" applyFont="1" applyFill="1" applyBorder="1" applyAlignment="1">
      <alignment horizontal="center" vertical="center" wrapText="1"/>
    </xf>
    <xf numFmtId="191" fontId="1" fillId="5" borderId="1" xfId="8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91" fontId="7" fillId="6" borderId="1" xfId="0" applyNumberFormat="1" applyFont="1" applyFill="1" applyBorder="1" applyAlignment="1">
      <alignment horizontal="right" vertical="center" wrapText="1"/>
    </xf>
    <xf numFmtId="0" fontId="7" fillId="0" borderId="1" xfId="7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49" fontId="22" fillId="6" borderId="1" xfId="0" applyNumberFormat="1" applyFont="1" applyFill="1" applyBorder="1" applyAlignment="1">
      <alignment horizontal="right" vertical="center"/>
    </xf>
    <xf numFmtId="49" fontId="7" fillId="0" borderId="1" xfId="0" applyNumberFormat="1" applyFont="1" applyFill="1" applyBorder="1" applyAlignment="1">
      <alignment horizontal="center" vertical="center" wrapText="1"/>
    </xf>
  </cellXfs>
  <cellStyles count="10">
    <cellStyle name="Денежный" xfId="1" builtinId="4"/>
    <cellStyle name="Денежный 2" xfId="2"/>
    <cellStyle name="Обычный" xfId="0" builtinId="0"/>
    <cellStyle name="Обычный 12 6" xfId="3"/>
    <cellStyle name="Обычный 18" xfId="4"/>
    <cellStyle name="Обычный 2" xfId="5"/>
    <cellStyle name="Обычный 2 4 6" xfId="6"/>
    <cellStyle name="Обычный_ПОЛЫ 1" xfId="7"/>
    <cellStyle name="Обычный_ПОЛЫ 1 2" xfId="8"/>
    <cellStyle name="Финансовый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95250</xdr:rowOff>
    </xdr:from>
    <xdr:to>
      <xdr:col>1</xdr:col>
      <xdr:colOff>590550</xdr:colOff>
      <xdr:row>5</xdr:row>
      <xdr:rowOff>171450</xdr:rowOff>
    </xdr:to>
    <xdr:grpSp>
      <xdr:nvGrpSpPr>
        <xdr:cNvPr id="1130" name="Shape 2">
          <a:extLst>
            <a:ext uri="{FF2B5EF4-FFF2-40B4-BE49-F238E27FC236}">
              <a16:creationId xmlns:a16="http://schemas.microsoft.com/office/drawing/2014/main" id="{ECE2A1B1-2B7A-4240-B1AA-92BC905F4AB8}"/>
            </a:ext>
          </a:extLst>
        </xdr:cNvPr>
        <xdr:cNvGrpSpPr>
          <a:grpSpLocks/>
        </xdr:cNvGrpSpPr>
      </xdr:nvGrpSpPr>
      <xdr:grpSpPr bwMode="auto">
        <a:xfrm>
          <a:off x="85725" y="95250"/>
          <a:ext cx="1150408" cy="1081617"/>
          <a:chOff x="4693538" y="3227550"/>
          <a:chExt cx="1304925" cy="1104900"/>
        </a:xfrm>
      </xdr:grpSpPr>
      <xdr:grpSp>
        <xdr:nvGrpSpPr>
          <xdr:cNvPr id="1131" name="Shape 3">
            <a:extLst>
              <a:ext uri="{FF2B5EF4-FFF2-40B4-BE49-F238E27FC236}">
                <a16:creationId xmlns:a16="http://schemas.microsoft.com/office/drawing/2014/main" id="{DACA846A-EB28-4AD0-B59F-AD2A85BA47B6}"/>
              </a:ext>
            </a:extLst>
          </xdr:cNvPr>
          <xdr:cNvGrpSpPr>
            <a:grpSpLocks/>
          </xdr:cNvGrpSpPr>
        </xdr:nvGrpSpPr>
        <xdr:grpSpPr bwMode="auto">
          <a:xfrm>
            <a:off x="4693538" y="3227550"/>
            <a:ext cx="1304925" cy="1104900"/>
            <a:chOff x="4479225" y="3108488"/>
            <a:chExt cx="1733550" cy="13430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682D9C7-54A4-44A3-9B3C-801000BF0820}"/>
                </a:ext>
              </a:extLst>
            </xdr:cNvPr>
            <xdr:cNvSpPr/>
          </xdr:nvSpPr>
          <xdr:spPr>
            <a:xfrm>
              <a:off x="4479225" y="3108488"/>
              <a:ext cx="1733550" cy="1343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" name="Shape 5">
              <a:extLst>
                <a:ext uri="{FF2B5EF4-FFF2-40B4-BE49-F238E27FC236}">
                  <a16:creationId xmlns:a16="http://schemas.microsoft.com/office/drawing/2014/main" id="{14E99D12-37F6-4409-9806-0905D6408AA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479225" y="3108488"/>
              <a:ext cx="1733550" cy="1343025"/>
              <a:chOff x="0" y="0"/>
              <a:chExt cx="954405" cy="96012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2CF93300-469B-41B4-BF41-6D51079BF158}"/>
                  </a:ext>
                </a:extLst>
              </xdr:cNvPr>
              <xdr:cNvSpPr/>
            </xdr:nvSpPr>
            <xdr:spPr>
              <a:xfrm>
                <a:off x="0" y="0"/>
                <a:ext cx="954405" cy="96012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400"/>
              </a:p>
            </xdr:txBody>
          </xdr:sp>
          <xdr:sp macro="" textlink="">
            <xdr:nvSpPr>
              <xdr:cNvPr id="1135" name="Shape 7">
                <a:extLst>
                  <a:ext uri="{FF2B5EF4-FFF2-40B4-BE49-F238E27FC236}">
                    <a16:creationId xmlns:a16="http://schemas.microsoft.com/office/drawing/2014/main" id="{A8BBDDE5-971C-4055-A13E-BFD2A75F772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0" y="0"/>
                <a:ext cx="83185" cy="435610"/>
              </a:xfrm>
              <a:custGeom>
                <a:avLst/>
                <a:gdLst>
                  <a:gd name="T0" fmla="*/ 0 w 84023"/>
                  <a:gd name="T1" fmla="*/ 0 h 438086"/>
                  <a:gd name="T2" fmla="*/ 77549 w 84023"/>
                  <a:gd name="T3" fmla="*/ 0 h 438086"/>
                  <a:gd name="T4" fmla="*/ 77549 w 84023"/>
                  <a:gd name="T5" fmla="*/ 418666 h 438086"/>
                  <a:gd name="T6" fmla="*/ 0 w 84023"/>
                  <a:gd name="T7" fmla="*/ 418666 h 438086"/>
                  <a:gd name="T8" fmla="*/ 0 w 84023"/>
                  <a:gd name="T9" fmla="*/ 0 h 438086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0" t="0" r="r" b="b"/>
                <a:pathLst>
                  <a:path w="84023" h="438086" extrusionOk="0">
                    <a:moveTo>
                      <a:pt x="0" y="0"/>
                    </a:moveTo>
                    <a:lnTo>
                      <a:pt x="84023" y="0"/>
                    </a:lnTo>
                    <a:lnTo>
                      <a:pt x="84023" y="438086"/>
                    </a:lnTo>
                    <a:lnTo>
                      <a:pt x="0" y="438086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717F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Shape 8">
                <a:extLst>
                  <a:ext uri="{FF2B5EF4-FFF2-40B4-BE49-F238E27FC236}">
                    <a16:creationId xmlns:a16="http://schemas.microsoft.com/office/drawing/2014/main" id="{FF2D7776-822E-46AF-B84E-41FFF43A0E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7640" y="0"/>
                <a:ext cx="83185" cy="435610"/>
              </a:xfrm>
              <a:custGeom>
                <a:avLst/>
                <a:gdLst>
                  <a:gd name="T0" fmla="*/ 0 w 84023"/>
                  <a:gd name="T1" fmla="*/ 0 h 438086"/>
                  <a:gd name="T2" fmla="*/ 77549 w 84023"/>
                  <a:gd name="T3" fmla="*/ 0 h 438086"/>
                  <a:gd name="T4" fmla="*/ 77549 w 84023"/>
                  <a:gd name="T5" fmla="*/ 418666 h 438086"/>
                  <a:gd name="T6" fmla="*/ 0 w 84023"/>
                  <a:gd name="T7" fmla="*/ 418666 h 438086"/>
                  <a:gd name="T8" fmla="*/ 0 w 84023"/>
                  <a:gd name="T9" fmla="*/ 0 h 438086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0" t="0" r="r" b="b"/>
                <a:pathLst>
                  <a:path w="84023" h="438086" extrusionOk="0">
                    <a:moveTo>
                      <a:pt x="0" y="0"/>
                    </a:moveTo>
                    <a:lnTo>
                      <a:pt x="84023" y="0"/>
                    </a:lnTo>
                    <a:lnTo>
                      <a:pt x="84023" y="438086"/>
                    </a:lnTo>
                    <a:lnTo>
                      <a:pt x="0" y="438086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717F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Shape 9">
                <a:extLst>
                  <a:ext uri="{FF2B5EF4-FFF2-40B4-BE49-F238E27FC236}">
                    <a16:creationId xmlns:a16="http://schemas.microsoft.com/office/drawing/2014/main" id="{706E2986-98D6-4260-9364-FC09D11488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5915" y="0"/>
                <a:ext cx="83185" cy="435610"/>
              </a:xfrm>
              <a:custGeom>
                <a:avLst/>
                <a:gdLst>
                  <a:gd name="T0" fmla="*/ 0 w 84023"/>
                  <a:gd name="T1" fmla="*/ 0 h 438086"/>
                  <a:gd name="T2" fmla="*/ 77549 w 84023"/>
                  <a:gd name="T3" fmla="*/ 0 h 438086"/>
                  <a:gd name="T4" fmla="*/ 77549 w 84023"/>
                  <a:gd name="T5" fmla="*/ 418666 h 438086"/>
                  <a:gd name="T6" fmla="*/ 0 w 84023"/>
                  <a:gd name="T7" fmla="*/ 418666 h 438086"/>
                  <a:gd name="T8" fmla="*/ 0 w 84023"/>
                  <a:gd name="T9" fmla="*/ 0 h 438086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0" t="0" r="r" b="b"/>
                <a:pathLst>
                  <a:path w="84023" h="438086" extrusionOk="0">
                    <a:moveTo>
                      <a:pt x="0" y="0"/>
                    </a:moveTo>
                    <a:lnTo>
                      <a:pt x="84023" y="0"/>
                    </a:lnTo>
                    <a:lnTo>
                      <a:pt x="84023" y="438086"/>
                    </a:lnTo>
                    <a:lnTo>
                      <a:pt x="0" y="438086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717F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Shape 10">
                <a:extLst>
                  <a:ext uri="{FF2B5EF4-FFF2-40B4-BE49-F238E27FC236}">
                    <a16:creationId xmlns:a16="http://schemas.microsoft.com/office/drawing/2014/main" id="{8AB2E787-5AFD-4965-9C07-1C98AD81745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17525" y="0"/>
                <a:ext cx="435610" cy="83185"/>
              </a:xfrm>
              <a:custGeom>
                <a:avLst/>
                <a:gdLst>
                  <a:gd name="T0" fmla="*/ 0 w 438086"/>
                  <a:gd name="T1" fmla="*/ 0 h 84024"/>
                  <a:gd name="T2" fmla="*/ 418666 w 438086"/>
                  <a:gd name="T3" fmla="*/ 0 h 84024"/>
                  <a:gd name="T4" fmla="*/ 418666 w 438086"/>
                  <a:gd name="T5" fmla="*/ 77542 h 84024"/>
                  <a:gd name="T6" fmla="*/ 0 w 438086"/>
                  <a:gd name="T7" fmla="*/ 77542 h 84024"/>
                  <a:gd name="T8" fmla="*/ 0 w 438086"/>
                  <a:gd name="T9" fmla="*/ 0 h 84024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0" t="0" r="r" b="b"/>
                <a:pathLst>
                  <a:path w="438086" h="84024" extrusionOk="0">
                    <a:moveTo>
                      <a:pt x="0" y="0"/>
                    </a:moveTo>
                    <a:lnTo>
                      <a:pt x="438086" y="0"/>
                    </a:lnTo>
                    <a:lnTo>
                      <a:pt x="438086" y="84024"/>
                    </a:lnTo>
                    <a:lnTo>
                      <a:pt x="0" y="84024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8C87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Shape 11">
                <a:extLst>
                  <a:ext uri="{FF2B5EF4-FFF2-40B4-BE49-F238E27FC236}">
                    <a16:creationId xmlns:a16="http://schemas.microsoft.com/office/drawing/2014/main" id="{0A56F5BC-30B5-4BEE-AE2F-FCA253587E6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17525" y="175895"/>
                <a:ext cx="435610" cy="83185"/>
              </a:xfrm>
              <a:custGeom>
                <a:avLst/>
                <a:gdLst>
                  <a:gd name="T0" fmla="*/ 0 w 438086"/>
                  <a:gd name="T1" fmla="*/ 0 h 84024"/>
                  <a:gd name="T2" fmla="*/ 418666 w 438086"/>
                  <a:gd name="T3" fmla="*/ 0 h 84024"/>
                  <a:gd name="T4" fmla="*/ 418666 w 438086"/>
                  <a:gd name="T5" fmla="*/ 77542 h 84024"/>
                  <a:gd name="T6" fmla="*/ 0 w 438086"/>
                  <a:gd name="T7" fmla="*/ 77542 h 84024"/>
                  <a:gd name="T8" fmla="*/ 0 w 438086"/>
                  <a:gd name="T9" fmla="*/ 0 h 84024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0" t="0" r="r" b="b"/>
                <a:pathLst>
                  <a:path w="438086" h="84024" extrusionOk="0">
                    <a:moveTo>
                      <a:pt x="0" y="0"/>
                    </a:moveTo>
                    <a:lnTo>
                      <a:pt x="438086" y="0"/>
                    </a:lnTo>
                    <a:lnTo>
                      <a:pt x="438086" y="84024"/>
                    </a:lnTo>
                    <a:lnTo>
                      <a:pt x="0" y="84024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8C87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Shape 12">
                <a:extLst>
                  <a:ext uri="{FF2B5EF4-FFF2-40B4-BE49-F238E27FC236}">
                    <a16:creationId xmlns:a16="http://schemas.microsoft.com/office/drawing/2014/main" id="{5B2F3936-8A2C-4570-B717-2256AFFE898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17525" y="352425"/>
                <a:ext cx="435610" cy="83185"/>
              </a:xfrm>
              <a:custGeom>
                <a:avLst/>
                <a:gdLst>
                  <a:gd name="T0" fmla="*/ 0 w 438086"/>
                  <a:gd name="T1" fmla="*/ 0 h 84024"/>
                  <a:gd name="T2" fmla="*/ 418666 w 438086"/>
                  <a:gd name="T3" fmla="*/ 0 h 84024"/>
                  <a:gd name="T4" fmla="*/ 418666 w 438086"/>
                  <a:gd name="T5" fmla="*/ 77542 h 84024"/>
                  <a:gd name="T6" fmla="*/ 0 w 438086"/>
                  <a:gd name="T7" fmla="*/ 77542 h 84024"/>
                  <a:gd name="T8" fmla="*/ 0 w 438086"/>
                  <a:gd name="T9" fmla="*/ 0 h 84024"/>
                  <a:gd name="T10" fmla="*/ 0 60000 65536"/>
                  <a:gd name="T11" fmla="*/ 0 60000 65536"/>
                  <a:gd name="T12" fmla="*/ 0 60000 65536"/>
                  <a:gd name="T13" fmla="*/ 0 60000 65536"/>
                  <a:gd name="T14" fmla="*/ 0 60000 65536"/>
                </a:gdLst>
                <a:ahLst/>
                <a:cxnLst>
                  <a:cxn ang="T10">
                    <a:pos x="T0" y="T1"/>
                  </a:cxn>
                  <a:cxn ang="T11">
                    <a:pos x="T2" y="T3"/>
                  </a:cxn>
                  <a:cxn ang="T12">
                    <a:pos x="T4" y="T5"/>
                  </a:cxn>
                  <a:cxn ang="T13">
                    <a:pos x="T6" y="T7"/>
                  </a:cxn>
                  <a:cxn ang="T14">
                    <a:pos x="T8" y="T9"/>
                  </a:cxn>
                </a:cxnLst>
                <a:rect l="0" t="0" r="r" b="b"/>
                <a:pathLst>
                  <a:path w="438086" h="84024" extrusionOk="0">
                    <a:moveTo>
                      <a:pt x="0" y="0"/>
                    </a:moveTo>
                    <a:lnTo>
                      <a:pt x="438086" y="0"/>
                    </a:lnTo>
                    <a:lnTo>
                      <a:pt x="438086" y="84024"/>
                    </a:lnTo>
                    <a:lnTo>
                      <a:pt x="0" y="84024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8C87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1A69F00A-FB7B-4A80-B2A3-67B037782894}"/>
                  </a:ext>
                </a:extLst>
              </xdr:cNvPr>
              <xdr:cNvSpPr/>
            </xdr:nvSpPr>
            <xdr:spPr>
              <a:xfrm>
                <a:off x="512697" y="526792"/>
                <a:ext cx="441708" cy="433328"/>
              </a:xfrm>
              <a:custGeom>
                <a:avLst/>
                <a:gdLst/>
                <a:ahLst/>
                <a:cxnLst/>
                <a:rect l="l" t="t" r="r" b="b"/>
                <a:pathLst>
                  <a:path w="439090" h="439090" extrusionOk="0">
                    <a:moveTo>
                      <a:pt x="219545" y="0"/>
                    </a:moveTo>
                    <a:cubicBezTo>
                      <a:pt x="340792" y="0"/>
                      <a:pt x="439090" y="98298"/>
                      <a:pt x="439090" y="219545"/>
                    </a:cubicBezTo>
                    <a:cubicBezTo>
                      <a:pt x="439090" y="340792"/>
                      <a:pt x="340792" y="439090"/>
                      <a:pt x="219545" y="439090"/>
                    </a:cubicBezTo>
                    <a:cubicBezTo>
                      <a:pt x="98298" y="439090"/>
                      <a:pt x="0" y="340792"/>
                      <a:pt x="0" y="219545"/>
                    </a:cubicBezTo>
                    <a:cubicBezTo>
                      <a:pt x="0" y="98298"/>
                      <a:pt x="98298" y="0"/>
                      <a:pt x="219545" y="0"/>
                    </a:cubicBezTo>
                    <a:close/>
                  </a:path>
                </a:pathLst>
              </a:custGeom>
              <a:solidFill>
                <a:srgbClr val="EA6254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endParaRPr lang="ru-RU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F743BF1B-8862-4560-8F92-7A685C866EAE}"/>
                  </a:ext>
                </a:extLst>
              </xdr:cNvPr>
              <xdr:cNvSpPr/>
            </xdr:nvSpPr>
            <xdr:spPr>
              <a:xfrm>
                <a:off x="252405" y="526792"/>
                <a:ext cx="165641" cy="424832"/>
              </a:xfrm>
              <a:custGeom>
                <a:avLst/>
                <a:gdLst/>
                <a:ahLst/>
                <a:cxnLst/>
                <a:rect l="l" t="t" r="r" b="b"/>
                <a:pathLst>
                  <a:path w="166649" h="427114" extrusionOk="0">
                    <a:moveTo>
                      <a:pt x="0" y="0"/>
                    </a:moveTo>
                    <a:cubicBezTo>
                      <a:pt x="38354" y="9525"/>
                      <a:pt x="73533" y="29299"/>
                      <a:pt x="102197" y="57963"/>
                    </a:cubicBezTo>
                    <a:cubicBezTo>
                      <a:pt x="143764" y="99530"/>
                      <a:pt x="166649" y="154788"/>
                      <a:pt x="166649" y="213563"/>
                    </a:cubicBezTo>
                    <a:cubicBezTo>
                      <a:pt x="166649" y="272339"/>
                      <a:pt x="143764" y="327597"/>
                      <a:pt x="102197" y="369151"/>
                    </a:cubicBezTo>
                    <a:cubicBezTo>
                      <a:pt x="73533" y="397815"/>
                      <a:pt x="38354" y="417601"/>
                      <a:pt x="0" y="427114"/>
                    </a:cubicBezTo>
                    <a:lnTo>
                      <a:pt x="0" y="363741"/>
                    </a:lnTo>
                    <a:cubicBezTo>
                      <a:pt x="61709" y="341744"/>
                      <a:pt x="105994" y="282727"/>
                      <a:pt x="105994" y="213563"/>
                    </a:cubicBezTo>
                    <a:cubicBezTo>
                      <a:pt x="105994" y="144386"/>
                      <a:pt x="61709" y="85382"/>
                      <a:pt x="0" y="63373"/>
                    </a:cubicBez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A6AEA4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endParaRPr lang="ru-RU"/>
              </a:p>
            </xdr:txBody>
          </xdr:sp>
          <xdr:sp macro="" textlink="">
            <xdr:nvSpPr>
              <xdr:cNvPr id="1143" name="Shape 15">
                <a:extLst>
                  <a:ext uri="{FF2B5EF4-FFF2-40B4-BE49-F238E27FC236}">
                    <a16:creationId xmlns:a16="http://schemas.microsoft.com/office/drawing/2014/main" id="{8CEC6799-A08D-444D-BCC0-79C19E1BA47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99440" y="675005"/>
                <a:ext cx="110490" cy="67310"/>
              </a:xfrm>
              <a:custGeom>
                <a:avLst/>
                <a:gdLst>
                  <a:gd name="T0" fmla="*/ 0 w 111150"/>
                  <a:gd name="T1" fmla="*/ 0 h 68186"/>
                  <a:gd name="T2" fmla="*/ 23770 w 111150"/>
                  <a:gd name="T3" fmla="*/ 0 h 68186"/>
                  <a:gd name="T4" fmla="*/ 27489 w 111150"/>
                  <a:gd name="T5" fmla="*/ 13353 h 68186"/>
                  <a:gd name="T6" fmla="*/ 32585 w 111150"/>
                  <a:gd name="T7" fmla="*/ 29958 h 68186"/>
                  <a:gd name="T8" fmla="*/ 32973 w 111150"/>
                  <a:gd name="T9" fmla="*/ 29958 h 68186"/>
                  <a:gd name="T10" fmla="*/ 38083 w 111150"/>
                  <a:gd name="T11" fmla="*/ 13353 h 68186"/>
                  <a:gd name="T12" fmla="*/ 41885 w 111150"/>
                  <a:gd name="T13" fmla="*/ 0 h 68186"/>
                  <a:gd name="T14" fmla="*/ 64081 w 111150"/>
                  <a:gd name="T15" fmla="*/ 0 h 68186"/>
                  <a:gd name="T16" fmla="*/ 67884 w 111150"/>
                  <a:gd name="T17" fmla="*/ 13353 h 68186"/>
                  <a:gd name="T18" fmla="*/ 73091 w 111150"/>
                  <a:gd name="T19" fmla="*/ 30302 h 68186"/>
                  <a:gd name="T20" fmla="*/ 73454 w 111150"/>
                  <a:gd name="T21" fmla="*/ 30302 h 68186"/>
                  <a:gd name="T22" fmla="*/ 78660 w 111150"/>
                  <a:gd name="T23" fmla="*/ 13353 h 68186"/>
                  <a:gd name="T24" fmla="*/ 82378 w 111150"/>
                  <a:gd name="T25" fmla="*/ 0 h 68186"/>
                  <a:gd name="T26" fmla="*/ 105979 w 111150"/>
                  <a:gd name="T27" fmla="*/ 0 h 68186"/>
                  <a:gd name="T28" fmla="*/ 85915 w 111150"/>
                  <a:gd name="T29" fmla="*/ 61484 h 68186"/>
                  <a:gd name="T30" fmla="*/ 62507 w 111150"/>
                  <a:gd name="T31" fmla="*/ 61484 h 68186"/>
                  <a:gd name="T32" fmla="*/ 58415 w 111150"/>
                  <a:gd name="T33" fmla="*/ 47961 h 68186"/>
                  <a:gd name="T34" fmla="*/ 53123 w 111150"/>
                  <a:gd name="T35" fmla="*/ 31011 h 68186"/>
                  <a:gd name="T36" fmla="*/ 52833 w 111150"/>
                  <a:gd name="T37" fmla="*/ 31011 h 68186"/>
                  <a:gd name="T38" fmla="*/ 47553 w 111150"/>
                  <a:gd name="T39" fmla="*/ 47961 h 68186"/>
                  <a:gd name="T40" fmla="*/ 43557 w 111150"/>
                  <a:gd name="T41" fmla="*/ 61484 h 68186"/>
                  <a:gd name="T42" fmla="*/ 20053 w 111150"/>
                  <a:gd name="T43" fmla="*/ 61484 h 68186"/>
                  <a:gd name="T44" fmla="*/ 0 w 111150"/>
                  <a:gd name="T45" fmla="*/ 0 h 68186"/>
                  <a:gd name="T46" fmla="*/ 0 60000 65536"/>
                  <a:gd name="T47" fmla="*/ 0 60000 65536"/>
                  <a:gd name="T48" fmla="*/ 0 60000 65536"/>
                  <a:gd name="T49" fmla="*/ 0 60000 65536"/>
                  <a:gd name="T50" fmla="*/ 0 60000 65536"/>
                  <a:gd name="T51" fmla="*/ 0 60000 65536"/>
                  <a:gd name="T52" fmla="*/ 0 60000 65536"/>
                  <a:gd name="T53" fmla="*/ 0 60000 65536"/>
                  <a:gd name="T54" fmla="*/ 0 60000 65536"/>
                  <a:gd name="T55" fmla="*/ 0 60000 65536"/>
                  <a:gd name="T56" fmla="*/ 0 60000 65536"/>
                  <a:gd name="T57" fmla="*/ 0 60000 65536"/>
                  <a:gd name="T58" fmla="*/ 0 60000 65536"/>
                  <a:gd name="T59" fmla="*/ 0 60000 65536"/>
                  <a:gd name="T60" fmla="*/ 0 60000 65536"/>
                  <a:gd name="T61" fmla="*/ 0 60000 65536"/>
                  <a:gd name="T62" fmla="*/ 0 60000 65536"/>
                  <a:gd name="T63" fmla="*/ 0 60000 65536"/>
                  <a:gd name="T64" fmla="*/ 0 60000 65536"/>
                  <a:gd name="T65" fmla="*/ 0 60000 65536"/>
                  <a:gd name="T66" fmla="*/ 0 60000 65536"/>
                  <a:gd name="T67" fmla="*/ 0 60000 65536"/>
                  <a:gd name="T68" fmla="*/ 0 60000 65536"/>
                </a:gdLst>
                <a:ahLst/>
                <a:cxnLst>
                  <a:cxn ang="T46">
                    <a:pos x="T0" y="T1"/>
                  </a:cxn>
                  <a:cxn ang="T47">
                    <a:pos x="T2" y="T3"/>
                  </a:cxn>
                  <a:cxn ang="T48">
                    <a:pos x="T4" y="T5"/>
                  </a:cxn>
                  <a:cxn ang="T49">
                    <a:pos x="T6" y="T7"/>
                  </a:cxn>
                  <a:cxn ang="T50">
                    <a:pos x="T8" y="T9"/>
                  </a:cxn>
                  <a:cxn ang="T51">
                    <a:pos x="T10" y="T11"/>
                  </a:cxn>
                  <a:cxn ang="T52">
                    <a:pos x="T12" y="T13"/>
                  </a:cxn>
                  <a:cxn ang="T53">
                    <a:pos x="T14" y="T15"/>
                  </a:cxn>
                  <a:cxn ang="T54">
                    <a:pos x="T16" y="T17"/>
                  </a:cxn>
                  <a:cxn ang="T55">
                    <a:pos x="T18" y="T19"/>
                  </a:cxn>
                  <a:cxn ang="T56">
                    <a:pos x="T20" y="T21"/>
                  </a:cxn>
                  <a:cxn ang="T57">
                    <a:pos x="T22" y="T23"/>
                  </a:cxn>
                  <a:cxn ang="T58">
                    <a:pos x="T24" y="T25"/>
                  </a:cxn>
                  <a:cxn ang="T59">
                    <a:pos x="T26" y="T27"/>
                  </a:cxn>
                  <a:cxn ang="T60">
                    <a:pos x="T28" y="T29"/>
                  </a:cxn>
                  <a:cxn ang="T61">
                    <a:pos x="T30" y="T31"/>
                  </a:cxn>
                  <a:cxn ang="T62">
                    <a:pos x="T32" y="T33"/>
                  </a:cxn>
                  <a:cxn ang="T63">
                    <a:pos x="T34" y="T35"/>
                  </a:cxn>
                  <a:cxn ang="T64">
                    <a:pos x="T36" y="T37"/>
                  </a:cxn>
                  <a:cxn ang="T65">
                    <a:pos x="T38" y="T39"/>
                  </a:cxn>
                  <a:cxn ang="T66">
                    <a:pos x="T40" y="T41"/>
                  </a:cxn>
                  <a:cxn ang="T67">
                    <a:pos x="T42" y="T43"/>
                  </a:cxn>
                  <a:cxn ang="T68">
                    <a:pos x="T44" y="T45"/>
                  </a:cxn>
                </a:cxnLst>
                <a:rect l="0" t="0" r="r" b="b"/>
                <a:pathLst>
                  <a:path w="111150" h="68186" extrusionOk="0">
                    <a:moveTo>
                      <a:pt x="0" y="0"/>
                    </a:moveTo>
                    <a:lnTo>
                      <a:pt x="24930" y="0"/>
                    </a:lnTo>
                    <a:lnTo>
                      <a:pt x="28829" y="14808"/>
                    </a:lnTo>
                    <a:lnTo>
                      <a:pt x="34176" y="33223"/>
                    </a:lnTo>
                    <a:lnTo>
                      <a:pt x="34582" y="33223"/>
                    </a:lnTo>
                    <a:lnTo>
                      <a:pt x="39941" y="14808"/>
                    </a:lnTo>
                    <a:lnTo>
                      <a:pt x="43929" y="0"/>
                    </a:lnTo>
                    <a:lnTo>
                      <a:pt x="67208" y="0"/>
                    </a:lnTo>
                    <a:lnTo>
                      <a:pt x="71196" y="14808"/>
                    </a:lnTo>
                    <a:lnTo>
                      <a:pt x="76657" y="33604"/>
                    </a:lnTo>
                    <a:lnTo>
                      <a:pt x="77038" y="33604"/>
                    </a:lnTo>
                    <a:lnTo>
                      <a:pt x="82499" y="14808"/>
                    </a:lnTo>
                    <a:lnTo>
                      <a:pt x="86398" y="0"/>
                    </a:lnTo>
                    <a:lnTo>
                      <a:pt x="111150" y="0"/>
                    </a:lnTo>
                    <a:lnTo>
                      <a:pt x="90107" y="68186"/>
                    </a:lnTo>
                    <a:lnTo>
                      <a:pt x="65557" y="68186"/>
                    </a:lnTo>
                    <a:lnTo>
                      <a:pt x="61265" y="53188"/>
                    </a:lnTo>
                    <a:lnTo>
                      <a:pt x="55715" y="34392"/>
                    </a:lnTo>
                    <a:lnTo>
                      <a:pt x="55410" y="34392"/>
                    </a:lnTo>
                    <a:lnTo>
                      <a:pt x="49873" y="53188"/>
                    </a:lnTo>
                    <a:lnTo>
                      <a:pt x="45682" y="68186"/>
                    </a:lnTo>
                    <a:lnTo>
                      <a:pt x="21031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Shape 16">
                <a:extLst>
                  <a:ext uri="{FF2B5EF4-FFF2-40B4-BE49-F238E27FC236}">
                    <a16:creationId xmlns:a16="http://schemas.microsoft.com/office/drawing/2014/main" id="{B9F8E5E0-F5F5-41D4-AF81-FC14DF1C409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6915" y="675005"/>
                <a:ext cx="49530" cy="67310"/>
              </a:xfrm>
              <a:custGeom>
                <a:avLst/>
                <a:gdLst>
                  <a:gd name="T0" fmla="*/ 0 w 50063"/>
                  <a:gd name="T1" fmla="*/ 0 h 68186"/>
                  <a:gd name="T2" fmla="*/ 45056 w 50063"/>
                  <a:gd name="T3" fmla="*/ 0 h 68186"/>
                  <a:gd name="T4" fmla="*/ 45056 w 50063"/>
                  <a:gd name="T5" fmla="*/ 15724 h 68186"/>
                  <a:gd name="T6" fmla="*/ 21018 w 50063"/>
                  <a:gd name="T7" fmla="*/ 15724 h 68186"/>
                  <a:gd name="T8" fmla="*/ 21018 w 50063"/>
                  <a:gd name="T9" fmla="*/ 22836 h 68186"/>
                  <a:gd name="T10" fmla="*/ 42737 w 50063"/>
                  <a:gd name="T11" fmla="*/ 22836 h 68186"/>
                  <a:gd name="T12" fmla="*/ 42737 w 50063"/>
                  <a:gd name="T13" fmla="*/ 38124 h 68186"/>
                  <a:gd name="T14" fmla="*/ 21018 w 50063"/>
                  <a:gd name="T15" fmla="*/ 38124 h 68186"/>
                  <a:gd name="T16" fmla="*/ 21018 w 50063"/>
                  <a:gd name="T17" fmla="*/ 45497 h 68186"/>
                  <a:gd name="T18" fmla="*/ 45954 w 50063"/>
                  <a:gd name="T19" fmla="*/ 45497 h 68186"/>
                  <a:gd name="T20" fmla="*/ 45954 w 50063"/>
                  <a:gd name="T21" fmla="*/ 61484 h 68186"/>
                  <a:gd name="T22" fmla="*/ 0 w 50063"/>
                  <a:gd name="T23" fmla="*/ 61484 h 68186"/>
                  <a:gd name="T24" fmla="*/ 0 w 50063"/>
                  <a:gd name="T25" fmla="*/ 0 h 68186"/>
                  <a:gd name="T26" fmla="*/ 0 60000 65536"/>
                  <a:gd name="T27" fmla="*/ 0 60000 65536"/>
                  <a:gd name="T28" fmla="*/ 0 60000 65536"/>
                  <a:gd name="T29" fmla="*/ 0 60000 65536"/>
                  <a:gd name="T30" fmla="*/ 0 60000 65536"/>
                  <a:gd name="T31" fmla="*/ 0 60000 65536"/>
                  <a:gd name="T32" fmla="*/ 0 60000 65536"/>
                  <a:gd name="T33" fmla="*/ 0 60000 65536"/>
                  <a:gd name="T34" fmla="*/ 0 60000 65536"/>
                  <a:gd name="T35" fmla="*/ 0 60000 65536"/>
                  <a:gd name="T36" fmla="*/ 0 60000 65536"/>
                  <a:gd name="T37" fmla="*/ 0 60000 65536"/>
                  <a:gd name="T38" fmla="*/ 0 60000 65536"/>
                </a:gdLst>
                <a:ahLst/>
                <a:cxnLst>
                  <a:cxn ang="T26">
                    <a:pos x="T0" y="T1"/>
                  </a:cxn>
                  <a:cxn ang="T27">
                    <a:pos x="T2" y="T3"/>
                  </a:cxn>
                  <a:cxn ang="T28">
                    <a:pos x="T4" y="T5"/>
                  </a:cxn>
                  <a:cxn ang="T29">
                    <a:pos x="T6" y="T7"/>
                  </a:cxn>
                  <a:cxn ang="T30">
                    <a:pos x="T8" y="T9"/>
                  </a:cxn>
                  <a:cxn ang="T31">
                    <a:pos x="T10" y="T11"/>
                  </a:cxn>
                  <a:cxn ang="T32">
                    <a:pos x="T12" y="T13"/>
                  </a:cxn>
                  <a:cxn ang="T33">
                    <a:pos x="T14" y="T15"/>
                  </a:cxn>
                  <a:cxn ang="T34">
                    <a:pos x="T16" y="T17"/>
                  </a:cxn>
                  <a:cxn ang="T35">
                    <a:pos x="T18" y="T19"/>
                  </a:cxn>
                  <a:cxn ang="T36">
                    <a:pos x="T20" y="T21"/>
                  </a:cxn>
                  <a:cxn ang="T37">
                    <a:pos x="T22" y="T23"/>
                  </a:cxn>
                  <a:cxn ang="T38">
                    <a:pos x="T24" y="T25"/>
                  </a:cxn>
                </a:cxnLst>
                <a:rect l="0" t="0" r="r" b="b"/>
                <a:pathLst>
                  <a:path w="50063" h="68186" extrusionOk="0">
                    <a:moveTo>
                      <a:pt x="0" y="0"/>
                    </a:moveTo>
                    <a:lnTo>
                      <a:pt x="49085" y="0"/>
                    </a:lnTo>
                    <a:lnTo>
                      <a:pt x="49085" y="17437"/>
                    </a:lnTo>
                    <a:lnTo>
                      <a:pt x="22898" y="17437"/>
                    </a:lnTo>
                    <a:lnTo>
                      <a:pt x="22898" y="25324"/>
                    </a:lnTo>
                    <a:lnTo>
                      <a:pt x="46558" y="25324"/>
                    </a:lnTo>
                    <a:lnTo>
                      <a:pt x="46558" y="42278"/>
                    </a:lnTo>
                    <a:lnTo>
                      <a:pt x="22898" y="42278"/>
                    </a:lnTo>
                    <a:lnTo>
                      <a:pt x="22898" y="50457"/>
                    </a:lnTo>
                    <a:lnTo>
                      <a:pt x="50063" y="50457"/>
                    </a:lnTo>
                    <a:lnTo>
                      <a:pt x="50063" y="68186"/>
                    </a:lnTo>
                    <a:lnTo>
                      <a:pt x="0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Shape 17">
                <a:extLst>
                  <a:ext uri="{FF2B5EF4-FFF2-40B4-BE49-F238E27FC236}">
                    <a16:creationId xmlns:a16="http://schemas.microsoft.com/office/drawing/2014/main" id="{941F1BF8-977D-4946-BD6D-014DEFF55B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8200" y="768985"/>
                <a:ext cx="49530" cy="67310"/>
              </a:xfrm>
              <a:custGeom>
                <a:avLst/>
                <a:gdLst>
                  <a:gd name="T0" fmla="*/ 0 w 50063"/>
                  <a:gd name="T1" fmla="*/ 0 h 68186"/>
                  <a:gd name="T2" fmla="*/ 45069 w 50063"/>
                  <a:gd name="T3" fmla="*/ 0 h 68186"/>
                  <a:gd name="T4" fmla="*/ 45069 w 50063"/>
                  <a:gd name="T5" fmla="*/ 15724 h 68186"/>
                  <a:gd name="T6" fmla="*/ 21008 w 50063"/>
                  <a:gd name="T7" fmla="*/ 15724 h 68186"/>
                  <a:gd name="T8" fmla="*/ 21008 w 50063"/>
                  <a:gd name="T9" fmla="*/ 22836 h 68186"/>
                  <a:gd name="T10" fmla="*/ 42737 w 50063"/>
                  <a:gd name="T11" fmla="*/ 22836 h 68186"/>
                  <a:gd name="T12" fmla="*/ 42737 w 50063"/>
                  <a:gd name="T13" fmla="*/ 38124 h 68186"/>
                  <a:gd name="T14" fmla="*/ 21008 w 50063"/>
                  <a:gd name="T15" fmla="*/ 38124 h 68186"/>
                  <a:gd name="T16" fmla="*/ 21008 w 50063"/>
                  <a:gd name="T17" fmla="*/ 45497 h 68186"/>
                  <a:gd name="T18" fmla="*/ 45954 w 50063"/>
                  <a:gd name="T19" fmla="*/ 45497 h 68186"/>
                  <a:gd name="T20" fmla="*/ 45954 w 50063"/>
                  <a:gd name="T21" fmla="*/ 61484 h 68186"/>
                  <a:gd name="T22" fmla="*/ 0 w 50063"/>
                  <a:gd name="T23" fmla="*/ 61484 h 68186"/>
                  <a:gd name="T24" fmla="*/ 0 w 50063"/>
                  <a:gd name="T25" fmla="*/ 0 h 68186"/>
                  <a:gd name="T26" fmla="*/ 0 60000 65536"/>
                  <a:gd name="T27" fmla="*/ 0 60000 65536"/>
                  <a:gd name="T28" fmla="*/ 0 60000 65536"/>
                  <a:gd name="T29" fmla="*/ 0 60000 65536"/>
                  <a:gd name="T30" fmla="*/ 0 60000 65536"/>
                  <a:gd name="T31" fmla="*/ 0 60000 65536"/>
                  <a:gd name="T32" fmla="*/ 0 60000 65536"/>
                  <a:gd name="T33" fmla="*/ 0 60000 65536"/>
                  <a:gd name="T34" fmla="*/ 0 60000 65536"/>
                  <a:gd name="T35" fmla="*/ 0 60000 65536"/>
                  <a:gd name="T36" fmla="*/ 0 60000 65536"/>
                  <a:gd name="T37" fmla="*/ 0 60000 65536"/>
                  <a:gd name="T38" fmla="*/ 0 60000 65536"/>
                </a:gdLst>
                <a:ahLst/>
                <a:cxnLst>
                  <a:cxn ang="T26">
                    <a:pos x="T0" y="T1"/>
                  </a:cxn>
                  <a:cxn ang="T27">
                    <a:pos x="T2" y="T3"/>
                  </a:cxn>
                  <a:cxn ang="T28">
                    <a:pos x="T4" y="T5"/>
                  </a:cxn>
                  <a:cxn ang="T29">
                    <a:pos x="T6" y="T7"/>
                  </a:cxn>
                  <a:cxn ang="T30">
                    <a:pos x="T8" y="T9"/>
                  </a:cxn>
                  <a:cxn ang="T31">
                    <a:pos x="T10" y="T11"/>
                  </a:cxn>
                  <a:cxn ang="T32">
                    <a:pos x="T12" y="T13"/>
                  </a:cxn>
                  <a:cxn ang="T33">
                    <a:pos x="T14" y="T15"/>
                  </a:cxn>
                  <a:cxn ang="T34">
                    <a:pos x="T16" y="T17"/>
                  </a:cxn>
                  <a:cxn ang="T35">
                    <a:pos x="T18" y="T19"/>
                  </a:cxn>
                  <a:cxn ang="T36">
                    <a:pos x="T20" y="T21"/>
                  </a:cxn>
                  <a:cxn ang="T37">
                    <a:pos x="T22" y="T23"/>
                  </a:cxn>
                  <a:cxn ang="T38">
                    <a:pos x="T24" y="T25"/>
                  </a:cxn>
                </a:cxnLst>
                <a:rect l="0" t="0" r="r" b="b"/>
                <a:pathLst>
                  <a:path w="50063" h="68186" extrusionOk="0">
                    <a:moveTo>
                      <a:pt x="0" y="0"/>
                    </a:moveTo>
                    <a:lnTo>
                      <a:pt x="49098" y="0"/>
                    </a:lnTo>
                    <a:lnTo>
                      <a:pt x="49098" y="17437"/>
                    </a:lnTo>
                    <a:lnTo>
                      <a:pt x="22885" y="17437"/>
                    </a:lnTo>
                    <a:lnTo>
                      <a:pt x="22885" y="25324"/>
                    </a:lnTo>
                    <a:lnTo>
                      <a:pt x="46558" y="25324"/>
                    </a:lnTo>
                    <a:lnTo>
                      <a:pt x="46558" y="42278"/>
                    </a:lnTo>
                    <a:lnTo>
                      <a:pt x="22885" y="42278"/>
                    </a:lnTo>
                    <a:lnTo>
                      <a:pt x="22885" y="50457"/>
                    </a:lnTo>
                    <a:lnTo>
                      <a:pt x="50063" y="50457"/>
                    </a:lnTo>
                    <a:lnTo>
                      <a:pt x="50063" y="68186"/>
                    </a:lnTo>
                    <a:lnTo>
                      <a:pt x="0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6" name="Shape 18">
                <a:extLst>
                  <a:ext uri="{FF2B5EF4-FFF2-40B4-BE49-F238E27FC236}">
                    <a16:creationId xmlns:a16="http://schemas.microsoft.com/office/drawing/2014/main" id="{0DDED884-6D7D-4FB1-9515-B82414CC19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605" y="675005"/>
                <a:ext cx="48895" cy="67310"/>
              </a:xfrm>
              <a:custGeom>
                <a:avLst/>
                <a:gdLst>
                  <a:gd name="T0" fmla="*/ 0 w 49479"/>
                  <a:gd name="T1" fmla="*/ 0 h 68186"/>
                  <a:gd name="T2" fmla="*/ 21424 w 49479"/>
                  <a:gd name="T3" fmla="*/ 0 h 68186"/>
                  <a:gd name="T4" fmla="*/ 21424 w 49479"/>
                  <a:gd name="T5" fmla="*/ 42074 h 68186"/>
                  <a:gd name="T6" fmla="*/ 44996 w 49479"/>
                  <a:gd name="T7" fmla="*/ 42074 h 68186"/>
                  <a:gd name="T8" fmla="*/ 44996 w 49479"/>
                  <a:gd name="T9" fmla="*/ 61484 h 68186"/>
                  <a:gd name="T10" fmla="*/ 0 w 49479"/>
                  <a:gd name="T11" fmla="*/ 61484 h 68186"/>
                  <a:gd name="T12" fmla="*/ 0 w 49479"/>
                  <a:gd name="T13" fmla="*/ 0 h 68186"/>
                  <a:gd name="T14" fmla="*/ 0 60000 65536"/>
                  <a:gd name="T15" fmla="*/ 0 60000 65536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</a:gdLst>
                <a:ahLst/>
                <a:cxnLst>
                  <a:cxn ang="T14">
                    <a:pos x="T0" y="T1"/>
                  </a:cxn>
                  <a:cxn ang="T15">
                    <a:pos x="T2" y="T3"/>
                  </a:cxn>
                  <a:cxn ang="T16">
                    <a:pos x="T4" y="T5"/>
                  </a:cxn>
                  <a:cxn ang="T17">
                    <a:pos x="T6" y="T7"/>
                  </a:cxn>
                  <a:cxn ang="T18">
                    <a:pos x="T8" y="T9"/>
                  </a:cxn>
                  <a:cxn ang="T19">
                    <a:pos x="T10" y="T11"/>
                  </a:cxn>
                  <a:cxn ang="T20">
                    <a:pos x="T12" y="T13"/>
                  </a:cxn>
                </a:cxnLst>
                <a:rect l="0" t="0" r="r" b="b"/>
                <a:pathLst>
                  <a:path w="49479" h="68186" extrusionOk="0">
                    <a:moveTo>
                      <a:pt x="0" y="0"/>
                    </a:moveTo>
                    <a:lnTo>
                      <a:pt x="23559" y="0"/>
                    </a:lnTo>
                    <a:lnTo>
                      <a:pt x="23559" y="46660"/>
                    </a:lnTo>
                    <a:lnTo>
                      <a:pt x="49479" y="46660"/>
                    </a:lnTo>
                    <a:lnTo>
                      <a:pt x="49479" y="68186"/>
                    </a:lnTo>
                    <a:lnTo>
                      <a:pt x="0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Shape 19">
                <a:extLst>
                  <a:ext uri="{FF2B5EF4-FFF2-40B4-BE49-F238E27FC236}">
                    <a16:creationId xmlns:a16="http://schemas.microsoft.com/office/drawing/2014/main" id="{40B32B9B-74F6-44EA-9F57-5F02F55A073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4390" y="675005"/>
                <a:ext cx="48895" cy="67310"/>
              </a:xfrm>
              <a:custGeom>
                <a:avLst/>
                <a:gdLst>
                  <a:gd name="T0" fmla="*/ 0 w 49479"/>
                  <a:gd name="T1" fmla="*/ 0 h 68186"/>
                  <a:gd name="T2" fmla="*/ 21436 w 49479"/>
                  <a:gd name="T3" fmla="*/ 0 h 68186"/>
                  <a:gd name="T4" fmla="*/ 21436 w 49479"/>
                  <a:gd name="T5" fmla="*/ 42074 h 68186"/>
                  <a:gd name="T6" fmla="*/ 44996 w 49479"/>
                  <a:gd name="T7" fmla="*/ 42074 h 68186"/>
                  <a:gd name="T8" fmla="*/ 44996 w 49479"/>
                  <a:gd name="T9" fmla="*/ 61484 h 68186"/>
                  <a:gd name="T10" fmla="*/ 0 w 49479"/>
                  <a:gd name="T11" fmla="*/ 61484 h 68186"/>
                  <a:gd name="T12" fmla="*/ 0 w 49479"/>
                  <a:gd name="T13" fmla="*/ 0 h 68186"/>
                  <a:gd name="T14" fmla="*/ 0 60000 65536"/>
                  <a:gd name="T15" fmla="*/ 0 60000 65536"/>
                  <a:gd name="T16" fmla="*/ 0 60000 65536"/>
                  <a:gd name="T17" fmla="*/ 0 60000 65536"/>
                  <a:gd name="T18" fmla="*/ 0 60000 65536"/>
                  <a:gd name="T19" fmla="*/ 0 60000 65536"/>
                  <a:gd name="T20" fmla="*/ 0 60000 65536"/>
                </a:gdLst>
                <a:ahLst/>
                <a:cxnLst>
                  <a:cxn ang="T14">
                    <a:pos x="T0" y="T1"/>
                  </a:cxn>
                  <a:cxn ang="T15">
                    <a:pos x="T2" y="T3"/>
                  </a:cxn>
                  <a:cxn ang="T16">
                    <a:pos x="T4" y="T5"/>
                  </a:cxn>
                  <a:cxn ang="T17">
                    <a:pos x="T6" y="T7"/>
                  </a:cxn>
                  <a:cxn ang="T18">
                    <a:pos x="T8" y="T9"/>
                  </a:cxn>
                  <a:cxn ang="T19">
                    <a:pos x="T10" y="T11"/>
                  </a:cxn>
                  <a:cxn ang="T20">
                    <a:pos x="T12" y="T13"/>
                  </a:cxn>
                </a:cxnLst>
                <a:rect l="0" t="0" r="r" b="b"/>
                <a:pathLst>
                  <a:path w="49479" h="68186" extrusionOk="0">
                    <a:moveTo>
                      <a:pt x="0" y="0"/>
                    </a:moveTo>
                    <a:lnTo>
                      <a:pt x="23571" y="0"/>
                    </a:lnTo>
                    <a:lnTo>
                      <a:pt x="23571" y="46660"/>
                    </a:lnTo>
                    <a:lnTo>
                      <a:pt x="49479" y="46660"/>
                    </a:lnTo>
                    <a:lnTo>
                      <a:pt x="49479" y="68186"/>
                    </a:lnTo>
                    <a:lnTo>
                      <a:pt x="0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" name="Shape 20">
                <a:extLst>
                  <a:ext uri="{FF2B5EF4-FFF2-40B4-BE49-F238E27FC236}">
                    <a16:creationId xmlns:a16="http://schemas.microsoft.com/office/drawing/2014/main" id="{8839FC01-7A9A-4EB7-AB68-BD88974A910D}"/>
                  </a:ext>
                </a:extLst>
              </xdr:cNvPr>
              <xdr:cNvSpPr/>
            </xdr:nvSpPr>
            <xdr:spPr>
              <a:xfrm>
                <a:off x="638899" y="764697"/>
                <a:ext cx="39438" cy="67973"/>
              </a:xfrm>
              <a:custGeom>
                <a:avLst/>
                <a:gdLst/>
                <a:ahLst/>
                <a:cxnLst/>
                <a:rect l="l" t="t" r="r" b="b"/>
                <a:pathLst>
                  <a:path w="34239" h="66882" extrusionOk="0">
                    <a:moveTo>
                      <a:pt x="0" y="0"/>
                    </a:moveTo>
                    <a:lnTo>
                      <a:pt x="16573" y="3527"/>
                    </a:lnTo>
                    <a:cubicBezTo>
                      <a:pt x="22174" y="6321"/>
                      <a:pt x="26543" y="10296"/>
                      <a:pt x="29616" y="15465"/>
                    </a:cubicBezTo>
                    <a:cubicBezTo>
                      <a:pt x="32690" y="20621"/>
                      <a:pt x="34239" y="26616"/>
                      <a:pt x="34239" y="33435"/>
                    </a:cubicBezTo>
                    <a:cubicBezTo>
                      <a:pt x="34239" y="40255"/>
                      <a:pt x="32690" y="46250"/>
                      <a:pt x="29616" y="51406"/>
                    </a:cubicBezTo>
                    <a:cubicBezTo>
                      <a:pt x="26543" y="56575"/>
                      <a:pt x="22174" y="60550"/>
                      <a:pt x="16573" y="63344"/>
                    </a:cubicBezTo>
                    <a:lnTo>
                      <a:pt x="0" y="66882"/>
                    </a:lnTo>
                    <a:lnTo>
                      <a:pt x="0" y="45504"/>
                    </a:lnTo>
                    <a:lnTo>
                      <a:pt x="6667" y="43227"/>
                    </a:lnTo>
                    <a:cubicBezTo>
                      <a:pt x="9207" y="40865"/>
                      <a:pt x="10465" y="37588"/>
                      <a:pt x="10465" y="33435"/>
                    </a:cubicBezTo>
                    <a:cubicBezTo>
                      <a:pt x="10465" y="29283"/>
                      <a:pt x="9207" y="26019"/>
                      <a:pt x="6667" y="23644"/>
                    </a:cubicBezTo>
                    <a:lnTo>
                      <a:pt x="0" y="21367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endParaRPr lang="ru-RU"/>
              </a:p>
            </xdr:txBody>
          </xdr:sp>
          <xdr:sp macro="" textlink="">
            <xdr:nvSpPr>
              <xdr:cNvPr id="21" name="Shape 21">
                <a:extLst>
                  <a:ext uri="{FF2B5EF4-FFF2-40B4-BE49-F238E27FC236}">
                    <a16:creationId xmlns:a16="http://schemas.microsoft.com/office/drawing/2014/main" id="{7D5DA224-9372-4D52-8440-4FB3F7D9AAA1}"/>
                  </a:ext>
                </a:extLst>
              </xdr:cNvPr>
              <xdr:cNvSpPr/>
            </xdr:nvSpPr>
            <xdr:spPr>
              <a:xfrm>
                <a:off x="717776" y="764697"/>
                <a:ext cx="31551" cy="67973"/>
              </a:xfrm>
              <a:custGeom>
                <a:avLst/>
                <a:gdLst/>
                <a:ahLst/>
                <a:cxnLst/>
                <a:rect l="l" t="t" r="r" b="b"/>
                <a:pathLst>
                  <a:path w="37744" h="71091" extrusionOk="0">
                    <a:moveTo>
                      <a:pt x="0" y="0"/>
                    </a:moveTo>
                    <a:lnTo>
                      <a:pt x="19621" y="4519"/>
                    </a:lnTo>
                    <a:cubicBezTo>
                      <a:pt x="25337" y="7542"/>
                      <a:pt x="29782" y="11746"/>
                      <a:pt x="32982" y="17143"/>
                    </a:cubicBezTo>
                    <a:cubicBezTo>
                      <a:pt x="36157" y="22528"/>
                      <a:pt x="37744" y="28662"/>
                      <a:pt x="37744" y="35545"/>
                    </a:cubicBezTo>
                    <a:cubicBezTo>
                      <a:pt x="37744" y="42429"/>
                      <a:pt x="36157" y="48576"/>
                      <a:pt x="32982" y="53960"/>
                    </a:cubicBezTo>
                    <a:cubicBezTo>
                      <a:pt x="29782" y="59345"/>
                      <a:pt x="25337" y="63549"/>
                      <a:pt x="19621" y="66571"/>
                    </a:cubicBezTo>
                    <a:lnTo>
                      <a:pt x="0" y="71091"/>
                    </a:lnTo>
                    <a:lnTo>
                      <a:pt x="0" y="49656"/>
                    </a:lnTo>
                    <a:lnTo>
                      <a:pt x="10033" y="45731"/>
                    </a:lnTo>
                    <a:cubicBezTo>
                      <a:pt x="12662" y="43089"/>
                      <a:pt x="13983" y="39698"/>
                      <a:pt x="13983" y="35545"/>
                    </a:cubicBezTo>
                    <a:cubicBezTo>
                      <a:pt x="13983" y="31392"/>
                      <a:pt x="12662" y="28001"/>
                      <a:pt x="10033" y="25360"/>
                    </a:cubicBezTo>
                    <a:lnTo>
                      <a:pt x="0" y="21448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endParaRPr lang="ru-RU"/>
              </a:p>
            </xdr:txBody>
          </xdr:sp>
          <xdr:sp macro="" textlink="">
            <xdr:nvSpPr>
              <xdr:cNvPr id="1150" name="Shape 22">
                <a:extLst>
                  <a:ext uri="{FF2B5EF4-FFF2-40B4-BE49-F238E27FC236}">
                    <a16:creationId xmlns:a16="http://schemas.microsoft.com/office/drawing/2014/main" id="{2195B93D-387D-4A17-B442-31B56BC337B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62000" y="768985"/>
                <a:ext cx="63500" cy="67310"/>
              </a:xfrm>
              <a:custGeom>
                <a:avLst/>
                <a:gdLst>
                  <a:gd name="T0" fmla="*/ 0 w 64199"/>
                  <a:gd name="T1" fmla="*/ 0 h 68186"/>
                  <a:gd name="T2" fmla="*/ 17487 w 64199"/>
                  <a:gd name="T3" fmla="*/ 0 h 68186"/>
                  <a:gd name="T4" fmla="*/ 37476 w 64199"/>
                  <a:gd name="T5" fmla="*/ 26523 h 68186"/>
                  <a:gd name="T6" fmla="*/ 37837 w 64199"/>
                  <a:gd name="T7" fmla="*/ 26523 h 68186"/>
                  <a:gd name="T8" fmla="*/ 37651 w 64199"/>
                  <a:gd name="T9" fmla="*/ 18712 h 68186"/>
                  <a:gd name="T10" fmla="*/ 37651 w 64199"/>
                  <a:gd name="T11" fmla="*/ 0 h 68186"/>
                  <a:gd name="T12" fmla="*/ 58816 w 64199"/>
                  <a:gd name="T13" fmla="*/ 0 h 68186"/>
                  <a:gd name="T14" fmla="*/ 58816 w 64199"/>
                  <a:gd name="T15" fmla="*/ 61484 h 68186"/>
                  <a:gd name="T16" fmla="*/ 41316 w 64199"/>
                  <a:gd name="T17" fmla="*/ 61484 h 68186"/>
                  <a:gd name="T18" fmla="*/ 21223 w 64199"/>
                  <a:gd name="T19" fmla="*/ 34700 h 68186"/>
                  <a:gd name="T20" fmla="*/ 20966 w 64199"/>
                  <a:gd name="T21" fmla="*/ 34700 h 68186"/>
                  <a:gd name="T22" fmla="*/ 21141 w 64199"/>
                  <a:gd name="T23" fmla="*/ 42773 h 68186"/>
                  <a:gd name="T24" fmla="*/ 21141 w 64199"/>
                  <a:gd name="T25" fmla="*/ 61484 h 68186"/>
                  <a:gd name="T26" fmla="*/ 0 w 64199"/>
                  <a:gd name="T27" fmla="*/ 61484 h 68186"/>
                  <a:gd name="T28" fmla="*/ 0 w 64199"/>
                  <a:gd name="T29" fmla="*/ 0 h 68186"/>
                  <a:gd name="T30" fmla="*/ 0 60000 65536"/>
                  <a:gd name="T31" fmla="*/ 0 60000 65536"/>
                  <a:gd name="T32" fmla="*/ 0 60000 65536"/>
                  <a:gd name="T33" fmla="*/ 0 60000 65536"/>
                  <a:gd name="T34" fmla="*/ 0 60000 65536"/>
                  <a:gd name="T35" fmla="*/ 0 60000 65536"/>
                  <a:gd name="T36" fmla="*/ 0 60000 65536"/>
                  <a:gd name="T37" fmla="*/ 0 60000 65536"/>
                  <a:gd name="T38" fmla="*/ 0 60000 65536"/>
                  <a:gd name="T39" fmla="*/ 0 60000 65536"/>
                  <a:gd name="T40" fmla="*/ 0 60000 65536"/>
                  <a:gd name="T41" fmla="*/ 0 60000 65536"/>
                  <a:gd name="T42" fmla="*/ 0 60000 65536"/>
                  <a:gd name="T43" fmla="*/ 0 60000 65536"/>
                  <a:gd name="T44" fmla="*/ 0 60000 65536"/>
                </a:gdLst>
                <a:ahLst/>
                <a:cxnLst>
                  <a:cxn ang="T30">
                    <a:pos x="T0" y="T1"/>
                  </a:cxn>
                  <a:cxn ang="T31">
                    <a:pos x="T2" y="T3"/>
                  </a:cxn>
                  <a:cxn ang="T32">
                    <a:pos x="T4" y="T5"/>
                  </a:cxn>
                  <a:cxn ang="T33">
                    <a:pos x="T6" y="T7"/>
                  </a:cxn>
                  <a:cxn ang="T34">
                    <a:pos x="T8" y="T9"/>
                  </a:cxn>
                  <a:cxn ang="T35">
                    <a:pos x="T10" y="T11"/>
                  </a:cxn>
                  <a:cxn ang="T36">
                    <a:pos x="T12" y="T13"/>
                  </a:cxn>
                  <a:cxn ang="T37">
                    <a:pos x="T14" y="T15"/>
                  </a:cxn>
                  <a:cxn ang="T38">
                    <a:pos x="T16" y="T17"/>
                  </a:cxn>
                  <a:cxn ang="T39">
                    <a:pos x="T18" y="T19"/>
                  </a:cxn>
                  <a:cxn ang="T40">
                    <a:pos x="T20" y="T21"/>
                  </a:cxn>
                  <a:cxn ang="T41">
                    <a:pos x="T22" y="T23"/>
                  </a:cxn>
                  <a:cxn ang="T42">
                    <a:pos x="T24" y="T25"/>
                  </a:cxn>
                  <a:cxn ang="T43">
                    <a:pos x="T26" y="T27"/>
                  </a:cxn>
                  <a:cxn ang="T44">
                    <a:pos x="T28" y="T29"/>
                  </a:cxn>
                </a:cxnLst>
                <a:rect l="0" t="0" r="r" b="b"/>
                <a:pathLst>
                  <a:path w="64199" h="68186" extrusionOk="0">
                    <a:moveTo>
                      <a:pt x="0" y="0"/>
                    </a:moveTo>
                    <a:lnTo>
                      <a:pt x="19088" y="0"/>
                    </a:lnTo>
                    <a:lnTo>
                      <a:pt x="40907" y="29413"/>
                    </a:lnTo>
                    <a:lnTo>
                      <a:pt x="41300" y="29413"/>
                    </a:lnTo>
                    <a:lnTo>
                      <a:pt x="41097" y="20752"/>
                    </a:lnTo>
                    <a:lnTo>
                      <a:pt x="41097" y="0"/>
                    </a:lnTo>
                    <a:lnTo>
                      <a:pt x="64199" y="0"/>
                    </a:lnTo>
                    <a:lnTo>
                      <a:pt x="64199" y="68186"/>
                    </a:lnTo>
                    <a:lnTo>
                      <a:pt x="45098" y="68186"/>
                    </a:lnTo>
                    <a:lnTo>
                      <a:pt x="23165" y="38481"/>
                    </a:lnTo>
                    <a:lnTo>
                      <a:pt x="22885" y="38481"/>
                    </a:lnTo>
                    <a:lnTo>
                      <a:pt x="23076" y="47435"/>
                    </a:lnTo>
                    <a:lnTo>
                      <a:pt x="23076" y="68186"/>
                    </a:lnTo>
                    <a:lnTo>
                      <a:pt x="0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</xdr:grpSp>
      </xdr:grpSp>
    </xdr:grpSp>
    <xdr:clientData fLock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7"/>
  <sheetViews>
    <sheetView tabSelected="1" view="pageBreakPreview" zoomScale="90" zoomScaleNormal="90" zoomScaleSheetLayoutView="90" workbookViewId="0">
      <selection activeCell="A11" sqref="A11:K11"/>
    </sheetView>
  </sheetViews>
  <sheetFormatPr defaultColWidth="13.5" defaultRowHeight="12" outlineLevelRow="1" x14ac:dyDescent="0.2"/>
  <cols>
    <col min="1" max="1" width="11.33203125" style="11" customWidth="1"/>
    <col min="2" max="2" width="59.1640625" style="25" customWidth="1"/>
    <col min="3" max="3" width="14.1640625" style="7" customWidth="1"/>
    <col min="4" max="4" width="13.33203125" style="7" customWidth="1"/>
    <col min="5" max="5" width="24.83203125" style="13" bestFit="1" customWidth="1"/>
    <col min="6" max="6" width="15.33203125" style="14" customWidth="1"/>
    <col min="7" max="7" width="15.33203125" style="15" customWidth="1"/>
    <col min="8" max="9" width="14.5" style="15" customWidth="1"/>
    <col min="10" max="10" width="14.5" style="7" customWidth="1"/>
    <col min="11" max="11" width="29.33203125" style="16" customWidth="1"/>
    <col min="12" max="16384" width="13.5" style="15"/>
  </cols>
  <sheetData>
    <row r="1" spans="1:19" customFormat="1" ht="15.75" customHeight="1" x14ac:dyDescent="0.2">
      <c r="A1" s="59"/>
      <c r="B1" s="60" t="s">
        <v>126</v>
      </c>
      <c r="C1" s="59"/>
      <c r="D1" s="59"/>
      <c r="E1" s="61"/>
      <c r="F1" s="61"/>
      <c r="G1" s="61"/>
      <c r="H1" s="61"/>
      <c r="I1" s="61"/>
      <c r="J1" s="61"/>
      <c r="K1" s="62" t="s">
        <v>127</v>
      </c>
      <c r="L1" s="61"/>
      <c r="M1" s="61"/>
      <c r="N1" s="61"/>
      <c r="O1" s="61"/>
      <c r="P1" s="61"/>
      <c r="Q1" s="61"/>
      <c r="R1" s="61"/>
      <c r="S1" s="61"/>
    </row>
    <row r="2" spans="1:19" customFormat="1" ht="15.75" customHeight="1" x14ac:dyDescent="0.2">
      <c r="A2" s="59"/>
      <c r="B2" s="60" t="s">
        <v>128</v>
      </c>
      <c r="C2" s="59"/>
      <c r="D2" s="59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</row>
    <row r="3" spans="1:19" customFormat="1" ht="15.75" customHeight="1" x14ac:dyDescent="0.2">
      <c r="A3" s="59"/>
      <c r="B3" s="60" t="s">
        <v>129</v>
      </c>
      <c r="C3" s="59"/>
      <c r="D3" s="59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customFormat="1" ht="15.75" customHeight="1" x14ac:dyDescent="0.2">
      <c r="A4" s="59"/>
      <c r="B4" s="60" t="s">
        <v>130</v>
      </c>
      <c r="C4" s="59"/>
      <c r="D4" s="59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19" customFormat="1" ht="15.75" customHeight="1" x14ac:dyDescent="0.2">
      <c r="A5" s="59"/>
      <c r="B5" s="60" t="s">
        <v>131</v>
      </c>
      <c r="C5" s="59"/>
      <c r="D5" s="59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19" customFormat="1" ht="16.5" customHeight="1" thickBot="1" x14ac:dyDescent="0.25">
      <c r="A6" s="63"/>
      <c r="B6" s="63" t="s">
        <v>132</v>
      </c>
      <c r="C6" s="63"/>
      <c r="D6" s="63"/>
      <c r="E6" s="63"/>
      <c r="F6" s="63"/>
      <c r="G6" s="63"/>
      <c r="H6" s="63"/>
      <c r="I6" s="63"/>
      <c r="J6" s="63"/>
      <c r="K6" s="63"/>
      <c r="L6" s="61"/>
      <c r="M6" s="61"/>
      <c r="N6" s="61"/>
      <c r="O6" s="61"/>
      <c r="P6" s="61"/>
      <c r="Q6" s="61"/>
      <c r="R6" s="61"/>
      <c r="S6" s="61"/>
    </row>
    <row r="7" spans="1:19" customFormat="1" ht="30" customHeight="1" x14ac:dyDescent="0.2">
      <c r="A7" s="59"/>
      <c r="B7" s="64" t="s">
        <v>133</v>
      </c>
      <c r="C7" s="59"/>
      <c r="D7" s="59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</row>
    <row r="8" spans="1:19" ht="12.95" customHeight="1" x14ac:dyDescent="0.2">
      <c r="B8" s="12"/>
      <c r="M8" s="58"/>
    </row>
    <row r="9" spans="1:19" s="7" customFormat="1" ht="15.75" x14ac:dyDescent="0.2">
      <c r="A9" s="102" t="s">
        <v>9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M9" s="58"/>
    </row>
    <row r="10" spans="1:19" s="7" customFormat="1" ht="15.75" x14ac:dyDescent="0.2">
      <c r="A10" s="102" t="s">
        <v>46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M10" s="58"/>
    </row>
    <row r="11" spans="1:19" s="7" customFormat="1" ht="155.25" customHeight="1" x14ac:dyDescent="0.2">
      <c r="A11" s="102" t="s">
        <v>70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M11" s="58"/>
    </row>
    <row r="12" spans="1:19" s="7" customFormat="1" x14ac:dyDescent="0.2">
      <c r="A12" s="103"/>
      <c r="B12" s="103"/>
      <c r="C12" s="103"/>
      <c r="D12" s="103"/>
      <c r="E12" s="1"/>
      <c r="F12" s="2"/>
      <c r="K12" s="3"/>
      <c r="M12" s="58"/>
    </row>
    <row r="13" spans="1:19" ht="12.75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32"/>
      <c r="M13" s="58"/>
    </row>
    <row r="14" spans="1:19" s="16" customFormat="1" x14ac:dyDescent="0.2">
      <c r="A14" s="105" t="s">
        <v>0</v>
      </c>
      <c r="B14" s="99" t="s">
        <v>1</v>
      </c>
      <c r="C14" s="99" t="s">
        <v>4</v>
      </c>
      <c r="D14" s="99" t="s">
        <v>2</v>
      </c>
      <c r="E14" s="101" t="s">
        <v>47</v>
      </c>
      <c r="F14" s="101"/>
      <c r="G14" s="101"/>
      <c r="H14" s="101" t="s">
        <v>48</v>
      </c>
      <c r="I14" s="101"/>
      <c r="J14" s="101"/>
      <c r="K14" s="99" t="s">
        <v>10</v>
      </c>
      <c r="M14" s="58"/>
    </row>
    <row r="15" spans="1:19" s="16" customFormat="1" ht="13.15" customHeight="1" x14ac:dyDescent="0.2">
      <c r="A15" s="105"/>
      <c r="B15" s="99"/>
      <c r="C15" s="99"/>
      <c r="D15" s="99"/>
      <c r="E15" s="101"/>
      <c r="F15" s="101"/>
      <c r="G15" s="101"/>
      <c r="H15" s="101"/>
      <c r="I15" s="101"/>
      <c r="J15" s="101"/>
      <c r="K15" s="99"/>
      <c r="M15" s="58"/>
    </row>
    <row r="16" spans="1:19" s="16" customFormat="1" ht="12.75" x14ac:dyDescent="0.2">
      <c r="A16" s="105"/>
      <c r="B16" s="99"/>
      <c r="C16" s="99"/>
      <c r="D16" s="99"/>
      <c r="E16" s="77" t="s">
        <v>5</v>
      </c>
      <c r="F16" s="78" t="s">
        <v>6</v>
      </c>
      <c r="G16" s="79" t="s">
        <v>3</v>
      </c>
      <c r="H16" s="77" t="s">
        <v>5</v>
      </c>
      <c r="I16" s="77" t="s">
        <v>6</v>
      </c>
      <c r="J16" s="77" t="s">
        <v>3</v>
      </c>
      <c r="K16" s="99"/>
      <c r="M16" s="58"/>
    </row>
    <row r="17" spans="1:13" s="16" customFormat="1" ht="25.5" x14ac:dyDescent="0.2">
      <c r="A17" s="80"/>
      <c r="B17" s="81" t="s">
        <v>73</v>
      </c>
      <c r="C17" s="81"/>
      <c r="D17" s="81"/>
      <c r="E17" s="82"/>
      <c r="F17" s="83"/>
      <c r="G17" s="84"/>
      <c r="H17" s="82"/>
      <c r="I17" s="82"/>
      <c r="J17" s="82"/>
      <c r="K17" s="85" t="s">
        <v>122</v>
      </c>
      <c r="M17" s="58"/>
    </row>
    <row r="18" spans="1:13" s="17" customFormat="1" ht="12.75" outlineLevel="1" x14ac:dyDescent="0.2">
      <c r="A18" s="86" t="s">
        <v>11</v>
      </c>
      <c r="B18" s="87" t="s">
        <v>20</v>
      </c>
      <c r="C18" s="88"/>
      <c r="D18" s="88"/>
      <c r="E18" s="89"/>
      <c r="F18" s="35"/>
      <c r="G18" s="34"/>
      <c r="H18" s="49">
        <f>SUM(H19:H23)</f>
        <v>0</v>
      </c>
      <c r="I18" s="49">
        <f>SUM(I19:I23)</f>
        <v>106460</v>
      </c>
      <c r="J18" s="49">
        <f>SUM(J19:J23)</f>
        <v>106460</v>
      </c>
      <c r="K18" s="90"/>
      <c r="M18" s="58"/>
    </row>
    <row r="19" spans="1:13" s="16" customFormat="1" ht="12.75" outlineLevel="1" x14ac:dyDescent="0.2">
      <c r="A19" s="91" t="s">
        <v>7</v>
      </c>
      <c r="B19" s="92" t="s">
        <v>16</v>
      </c>
      <c r="C19" s="93" t="s">
        <v>12</v>
      </c>
      <c r="D19" s="93">
        <v>510</v>
      </c>
      <c r="E19" s="94"/>
      <c r="F19" s="33">
        <v>60</v>
      </c>
      <c r="G19" s="9">
        <f>ROUND(F19+E19,2)</f>
        <v>60</v>
      </c>
      <c r="H19" s="10">
        <f t="shared" ref="H19:I23" si="0">E19*$D19</f>
        <v>0</v>
      </c>
      <c r="I19" s="10">
        <f t="shared" si="0"/>
        <v>30600</v>
      </c>
      <c r="J19" s="10">
        <f>I19+H19</f>
        <v>30600</v>
      </c>
      <c r="K19" s="95"/>
      <c r="M19" s="58"/>
    </row>
    <row r="20" spans="1:13" s="16" customFormat="1" ht="12.75" outlineLevel="1" x14ac:dyDescent="0.2">
      <c r="A20" s="91" t="s">
        <v>8</v>
      </c>
      <c r="B20" s="92" t="s">
        <v>15</v>
      </c>
      <c r="C20" s="93" t="s">
        <v>12</v>
      </c>
      <c r="D20" s="93">
        <v>826</v>
      </c>
      <c r="E20" s="94"/>
      <c r="F20" s="33">
        <f>F19</f>
        <v>60</v>
      </c>
      <c r="G20" s="9">
        <f>ROUND(F20+E20,2)</f>
        <v>60</v>
      </c>
      <c r="H20" s="10">
        <f t="shared" si="0"/>
        <v>0</v>
      </c>
      <c r="I20" s="10">
        <f t="shared" si="0"/>
        <v>49560</v>
      </c>
      <c r="J20" s="10">
        <f>I20+H20</f>
        <v>49560</v>
      </c>
      <c r="K20" s="95"/>
      <c r="M20" s="58"/>
    </row>
    <row r="21" spans="1:13" s="16" customFormat="1" ht="12.75" outlineLevel="1" x14ac:dyDescent="0.2">
      <c r="A21" s="91" t="s">
        <v>19</v>
      </c>
      <c r="B21" s="92" t="s">
        <v>17</v>
      </c>
      <c r="C21" s="93" t="s">
        <v>13</v>
      </c>
      <c r="D21" s="93">
        <v>5</v>
      </c>
      <c r="E21" s="94"/>
      <c r="F21" s="33">
        <v>3500</v>
      </c>
      <c r="G21" s="9">
        <f>ROUND(F21+E21,2)</f>
        <v>3500</v>
      </c>
      <c r="H21" s="10">
        <f t="shared" si="0"/>
        <v>0</v>
      </c>
      <c r="I21" s="10">
        <f t="shared" si="0"/>
        <v>17500</v>
      </c>
      <c r="J21" s="10">
        <f>I21+H21</f>
        <v>17500</v>
      </c>
      <c r="K21" s="95"/>
      <c r="M21" s="58"/>
    </row>
    <row r="22" spans="1:13" s="16" customFormat="1" ht="12.75" outlineLevel="1" x14ac:dyDescent="0.2">
      <c r="A22" s="18" t="s">
        <v>32</v>
      </c>
      <c r="B22" s="28" t="s">
        <v>66</v>
      </c>
      <c r="C22" s="19" t="s">
        <v>13</v>
      </c>
      <c r="D22" s="19">
        <v>5</v>
      </c>
      <c r="E22" s="94"/>
      <c r="F22" s="33">
        <v>500</v>
      </c>
      <c r="G22" s="9">
        <f>ROUND(F22+E22,2)</f>
        <v>500</v>
      </c>
      <c r="H22" s="10">
        <f t="shared" si="0"/>
        <v>0</v>
      </c>
      <c r="I22" s="10">
        <f t="shared" si="0"/>
        <v>2500</v>
      </c>
      <c r="J22" s="10">
        <f>I22+H22</f>
        <v>2500</v>
      </c>
      <c r="K22" s="95"/>
      <c r="M22" s="58"/>
    </row>
    <row r="23" spans="1:13" s="26" customFormat="1" ht="12.75" outlineLevel="1" x14ac:dyDescent="0.2">
      <c r="A23" s="29" t="s">
        <v>33</v>
      </c>
      <c r="B23" s="30" t="s">
        <v>26</v>
      </c>
      <c r="C23" s="31" t="s">
        <v>13</v>
      </c>
      <c r="D23" s="31">
        <v>21</v>
      </c>
      <c r="E23" s="96"/>
      <c r="F23" s="33">
        <v>300</v>
      </c>
      <c r="G23" s="9">
        <f>ROUND(F23+E23,2)</f>
        <v>300</v>
      </c>
      <c r="H23" s="10">
        <f t="shared" si="0"/>
        <v>0</v>
      </c>
      <c r="I23" s="10">
        <f t="shared" si="0"/>
        <v>6300</v>
      </c>
      <c r="J23" s="10">
        <f>I23+H23</f>
        <v>6300</v>
      </c>
      <c r="K23" s="97"/>
      <c r="M23" s="58"/>
    </row>
    <row r="24" spans="1:13" s="17" customFormat="1" ht="12.75" outlineLevel="1" x14ac:dyDescent="0.2">
      <c r="A24" s="86" t="s">
        <v>21</v>
      </c>
      <c r="B24" s="87" t="s">
        <v>22</v>
      </c>
      <c r="C24" s="88"/>
      <c r="D24" s="88"/>
      <c r="E24" s="98"/>
      <c r="F24" s="35"/>
      <c r="G24" s="34"/>
      <c r="H24" s="50">
        <f>SUM(H25:H36)</f>
        <v>134100</v>
      </c>
      <c r="I24" s="50">
        <f>SUM(I25:I36)</f>
        <v>275900</v>
      </c>
      <c r="J24" s="50">
        <f>SUM(J25:J36)</f>
        <v>410000</v>
      </c>
      <c r="K24" s="90"/>
      <c r="M24" s="58"/>
    </row>
    <row r="25" spans="1:13" s="16" customFormat="1" ht="12.75" outlineLevel="1" x14ac:dyDescent="0.2">
      <c r="A25" s="91" t="s">
        <v>23</v>
      </c>
      <c r="B25" s="92" t="s">
        <v>18</v>
      </c>
      <c r="C25" s="93" t="s">
        <v>12</v>
      </c>
      <c r="D25" s="93">
        <v>845</v>
      </c>
      <c r="E25" s="94">
        <v>100</v>
      </c>
      <c r="F25" s="33">
        <v>220</v>
      </c>
      <c r="G25" s="9">
        <f t="shared" ref="G25:G36" si="1">ROUND(F25+E25,2)</f>
        <v>320</v>
      </c>
      <c r="H25" s="10">
        <f>E25*$D25</f>
        <v>84500</v>
      </c>
      <c r="I25" s="10">
        <f>F25*$D25</f>
        <v>185900</v>
      </c>
      <c r="J25" s="10">
        <f t="shared" ref="J25:J36" si="2">I25+H25</f>
        <v>270400</v>
      </c>
      <c r="K25" s="95"/>
      <c r="M25" s="58"/>
    </row>
    <row r="26" spans="1:13" s="16" customFormat="1" ht="12.75" outlineLevel="1" x14ac:dyDescent="0.2">
      <c r="A26" s="91" t="s">
        <v>24</v>
      </c>
      <c r="B26" s="92" t="s">
        <v>14</v>
      </c>
      <c r="C26" s="93" t="s">
        <v>13</v>
      </c>
      <c r="D26" s="93">
        <v>2</v>
      </c>
      <c r="E26" s="94">
        <v>4600</v>
      </c>
      <c r="F26" s="33">
        <v>20000</v>
      </c>
      <c r="G26" s="9">
        <f t="shared" si="1"/>
        <v>24600</v>
      </c>
      <c r="H26" s="10">
        <f t="shared" ref="H26:H36" si="3">E26*$D26</f>
        <v>9200</v>
      </c>
      <c r="I26" s="10">
        <f t="shared" ref="I26:I36" si="4">F26*$D26</f>
        <v>40000</v>
      </c>
      <c r="J26" s="10">
        <f t="shared" si="2"/>
        <v>49200</v>
      </c>
      <c r="K26" s="95" t="s">
        <v>121</v>
      </c>
      <c r="M26" s="58"/>
    </row>
    <row r="27" spans="1:13" s="26" customFormat="1" ht="12.75" outlineLevel="1" x14ac:dyDescent="0.2">
      <c r="A27" s="91" t="s">
        <v>25</v>
      </c>
      <c r="B27" s="30" t="s">
        <v>38</v>
      </c>
      <c r="C27" s="31" t="s">
        <v>13</v>
      </c>
      <c r="D27" s="31">
        <v>21</v>
      </c>
      <c r="E27" s="94"/>
      <c r="F27" s="33">
        <v>2000</v>
      </c>
      <c r="G27" s="9">
        <f t="shared" si="1"/>
        <v>2000</v>
      </c>
      <c r="H27" s="10">
        <f t="shared" si="3"/>
        <v>0</v>
      </c>
      <c r="I27" s="10">
        <f t="shared" si="4"/>
        <v>42000</v>
      </c>
      <c r="J27" s="10">
        <f t="shared" si="2"/>
        <v>42000</v>
      </c>
      <c r="K27" s="97"/>
      <c r="M27" s="58"/>
    </row>
    <row r="28" spans="1:13" s="26" customFormat="1" ht="12.75" outlineLevel="1" x14ac:dyDescent="0.2">
      <c r="A28" s="91" t="s">
        <v>35</v>
      </c>
      <c r="B28" s="30" t="s">
        <v>49</v>
      </c>
      <c r="C28" s="31" t="s">
        <v>50</v>
      </c>
      <c r="D28" s="31">
        <v>26</v>
      </c>
      <c r="E28" s="94">
        <v>730</v>
      </c>
      <c r="F28" s="33"/>
      <c r="G28" s="9">
        <f t="shared" si="1"/>
        <v>730</v>
      </c>
      <c r="H28" s="10">
        <f t="shared" si="3"/>
        <v>18980</v>
      </c>
      <c r="I28" s="10">
        <f t="shared" si="4"/>
        <v>0</v>
      </c>
      <c r="J28" s="10">
        <f t="shared" si="2"/>
        <v>18980</v>
      </c>
      <c r="K28" s="97"/>
      <c r="M28" s="58"/>
    </row>
    <row r="29" spans="1:13" s="26" customFormat="1" ht="12.75" outlineLevel="1" x14ac:dyDescent="0.2">
      <c r="A29" s="91" t="s">
        <v>36</v>
      </c>
      <c r="B29" s="30" t="s">
        <v>51</v>
      </c>
      <c r="C29" s="31" t="s">
        <v>50</v>
      </c>
      <c r="D29" s="31">
        <v>26</v>
      </c>
      <c r="E29" s="94">
        <v>460</v>
      </c>
      <c r="F29" s="33"/>
      <c r="G29" s="9">
        <f t="shared" si="1"/>
        <v>460</v>
      </c>
      <c r="H29" s="10">
        <f t="shared" si="3"/>
        <v>11960</v>
      </c>
      <c r="I29" s="10">
        <f t="shared" si="4"/>
        <v>0</v>
      </c>
      <c r="J29" s="10">
        <f t="shared" si="2"/>
        <v>11960</v>
      </c>
      <c r="K29" s="97"/>
      <c r="M29" s="58"/>
    </row>
    <row r="30" spans="1:13" s="26" customFormat="1" ht="12.75" outlineLevel="1" x14ac:dyDescent="0.2">
      <c r="A30" s="91" t="s">
        <v>37</v>
      </c>
      <c r="B30" s="30" t="s">
        <v>52</v>
      </c>
      <c r="C30" s="31" t="s">
        <v>50</v>
      </c>
      <c r="D30" s="31">
        <v>26</v>
      </c>
      <c r="E30" s="94">
        <v>80</v>
      </c>
      <c r="F30" s="33"/>
      <c r="G30" s="9">
        <f t="shared" si="1"/>
        <v>80</v>
      </c>
      <c r="H30" s="10">
        <f t="shared" si="3"/>
        <v>2080</v>
      </c>
      <c r="I30" s="10">
        <f t="shared" si="4"/>
        <v>0</v>
      </c>
      <c r="J30" s="10">
        <f t="shared" si="2"/>
        <v>2080</v>
      </c>
      <c r="K30" s="97"/>
      <c r="M30" s="58"/>
    </row>
    <row r="31" spans="1:13" s="26" customFormat="1" ht="25.5" outlineLevel="1" x14ac:dyDescent="0.2">
      <c r="A31" s="91" t="s">
        <v>45</v>
      </c>
      <c r="B31" s="30" t="s">
        <v>53</v>
      </c>
      <c r="C31" s="31" t="s">
        <v>12</v>
      </c>
      <c r="D31" s="31">
        <v>8</v>
      </c>
      <c r="E31" s="94">
        <v>25</v>
      </c>
      <c r="F31" s="33"/>
      <c r="G31" s="9">
        <f t="shared" si="1"/>
        <v>25</v>
      </c>
      <c r="H31" s="10">
        <f t="shared" si="3"/>
        <v>200</v>
      </c>
      <c r="I31" s="10">
        <f t="shared" si="4"/>
        <v>0</v>
      </c>
      <c r="J31" s="10">
        <f t="shared" si="2"/>
        <v>200</v>
      </c>
      <c r="K31" s="97"/>
      <c r="M31" s="58"/>
    </row>
    <row r="32" spans="1:13" s="26" customFormat="1" ht="25.5" outlineLevel="1" x14ac:dyDescent="0.2">
      <c r="A32" s="91" t="s">
        <v>61</v>
      </c>
      <c r="B32" s="30" t="s">
        <v>55</v>
      </c>
      <c r="C32" s="31" t="s">
        <v>54</v>
      </c>
      <c r="D32" s="31">
        <v>4</v>
      </c>
      <c r="E32" s="94">
        <v>1470</v>
      </c>
      <c r="F32" s="33"/>
      <c r="G32" s="9">
        <f t="shared" si="1"/>
        <v>1470</v>
      </c>
      <c r="H32" s="10">
        <f t="shared" si="3"/>
        <v>5880</v>
      </c>
      <c r="I32" s="10">
        <f t="shared" si="4"/>
        <v>0</v>
      </c>
      <c r="J32" s="10">
        <f t="shared" si="2"/>
        <v>5880</v>
      </c>
      <c r="K32" s="97"/>
      <c r="M32" s="58"/>
    </row>
    <row r="33" spans="1:13" s="26" customFormat="1" ht="12.75" outlineLevel="1" x14ac:dyDescent="0.2">
      <c r="A33" s="91" t="s">
        <v>62</v>
      </c>
      <c r="B33" s="30" t="s">
        <v>56</v>
      </c>
      <c r="C33" s="31" t="s">
        <v>50</v>
      </c>
      <c r="D33" s="31">
        <v>1</v>
      </c>
      <c r="E33" s="94">
        <v>10</v>
      </c>
      <c r="F33" s="33"/>
      <c r="G33" s="9">
        <f t="shared" si="1"/>
        <v>10</v>
      </c>
      <c r="H33" s="10">
        <f t="shared" si="3"/>
        <v>10</v>
      </c>
      <c r="I33" s="10">
        <f t="shared" si="4"/>
        <v>0</v>
      </c>
      <c r="J33" s="10">
        <f t="shared" si="2"/>
        <v>10</v>
      </c>
      <c r="K33" s="97"/>
      <c r="M33" s="58"/>
    </row>
    <row r="34" spans="1:13" s="26" customFormat="1" ht="25.5" outlineLevel="1" x14ac:dyDescent="0.2">
      <c r="A34" s="91" t="s">
        <v>63</v>
      </c>
      <c r="B34" s="30" t="s">
        <v>57</v>
      </c>
      <c r="C34" s="31" t="s">
        <v>50</v>
      </c>
      <c r="D34" s="31">
        <v>45</v>
      </c>
      <c r="E34" s="94">
        <v>2</v>
      </c>
      <c r="F34" s="33"/>
      <c r="G34" s="9">
        <f t="shared" si="1"/>
        <v>2</v>
      </c>
      <c r="H34" s="10">
        <f t="shared" si="3"/>
        <v>90</v>
      </c>
      <c r="I34" s="10">
        <f t="shared" si="4"/>
        <v>0</v>
      </c>
      <c r="J34" s="10">
        <f t="shared" si="2"/>
        <v>90</v>
      </c>
      <c r="K34" s="97"/>
      <c r="M34" s="58"/>
    </row>
    <row r="35" spans="1:13" s="26" customFormat="1" ht="25.5" outlineLevel="1" x14ac:dyDescent="0.2">
      <c r="A35" s="91" t="s">
        <v>64</v>
      </c>
      <c r="B35" s="30" t="s">
        <v>58</v>
      </c>
      <c r="C35" s="31" t="s">
        <v>50</v>
      </c>
      <c r="D35" s="31">
        <v>15</v>
      </c>
      <c r="E35" s="94">
        <v>80</v>
      </c>
      <c r="F35" s="33"/>
      <c r="G35" s="9">
        <f t="shared" si="1"/>
        <v>80</v>
      </c>
      <c r="H35" s="10">
        <f t="shared" si="3"/>
        <v>1200</v>
      </c>
      <c r="I35" s="10">
        <f t="shared" si="4"/>
        <v>0</v>
      </c>
      <c r="J35" s="10">
        <f t="shared" si="2"/>
        <v>1200</v>
      </c>
      <c r="K35" s="97"/>
      <c r="M35" s="58"/>
    </row>
    <row r="36" spans="1:13" s="26" customFormat="1" ht="12.75" outlineLevel="1" x14ac:dyDescent="0.2">
      <c r="A36" s="91" t="s">
        <v>65</v>
      </c>
      <c r="B36" s="30" t="s">
        <v>59</v>
      </c>
      <c r="C36" s="31" t="s">
        <v>60</v>
      </c>
      <c r="D36" s="31">
        <v>1</v>
      </c>
      <c r="E36" s="94"/>
      <c r="F36" s="33">
        <f>16*500</f>
        <v>8000</v>
      </c>
      <c r="G36" s="9">
        <f t="shared" si="1"/>
        <v>8000</v>
      </c>
      <c r="H36" s="10">
        <f t="shared" si="3"/>
        <v>0</v>
      </c>
      <c r="I36" s="10">
        <f t="shared" si="4"/>
        <v>8000</v>
      </c>
      <c r="J36" s="10">
        <f t="shared" si="2"/>
        <v>8000</v>
      </c>
      <c r="K36" s="97"/>
      <c r="M36" s="58"/>
    </row>
    <row r="37" spans="1:13" s="16" customFormat="1" ht="12.75" outlineLevel="1" x14ac:dyDescent="0.2">
      <c r="A37" s="51"/>
      <c r="B37" s="52" t="s">
        <v>72</v>
      </c>
      <c r="C37" s="53"/>
      <c r="D37" s="53"/>
      <c r="E37" s="55"/>
      <c r="F37" s="57"/>
      <c r="G37" s="54"/>
      <c r="H37" s="55"/>
      <c r="I37" s="55"/>
      <c r="J37" s="55"/>
      <c r="K37" s="85"/>
      <c r="M37" s="58"/>
    </row>
    <row r="38" spans="1:13" s="16" customFormat="1" ht="12.75" outlineLevel="1" x14ac:dyDescent="0.2">
      <c r="A38" s="36" t="s">
        <v>11</v>
      </c>
      <c r="B38" s="37" t="s">
        <v>20</v>
      </c>
      <c r="C38" s="38"/>
      <c r="D38" s="38"/>
      <c r="E38" s="98"/>
      <c r="F38" s="35"/>
      <c r="G38" s="34"/>
      <c r="H38" s="50">
        <f>SUM(H39:H44)</f>
        <v>0</v>
      </c>
      <c r="I38" s="50">
        <f>SUM(I39:I44)</f>
        <v>102200</v>
      </c>
      <c r="J38" s="50">
        <f>SUM(J39:J44)</f>
        <v>102200</v>
      </c>
      <c r="K38" s="90"/>
      <c r="M38" s="58"/>
    </row>
    <row r="39" spans="1:13" s="16" customFormat="1" ht="12.75" outlineLevel="1" x14ac:dyDescent="0.2">
      <c r="A39" s="18" t="s">
        <v>7</v>
      </c>
      <c r="B39" s="20" t="s">
        <v>26</v>
      </c>
      <c r="C39" s="19" t="s">
        <v>13</v>
      </c>
      <c r="D39" s="19">
        <v>10</v>
      </c>
      <c r="E39" s="94"/>
      <c r="F39" s="33">
        <f>F23</f>
        <v>300</v>
      </c>
      <c r="G39" s="9">
        <f t="shared" ref="G39:G44" si="5">ROUND(F39+E39,2)</f>
        <v>300</v>
      </c>
      <c r="H39" s="10">
        <f t="shared" ref="H39:I44" si="6">E39*$D39</f>
        <v>0</v>
      </c>
      <c r="I39" s="10">
        <f t="shared" si="6"/>
        <v>3000</v>
      </c>
      <c r="J39" s="10">
        <f t="shared" ref="J39:J44" si="7">I39+H39</f>
        <v>3000</v>
      </c>
      <c r="K39" s="95"/>
      <c r="M39" s="58"/>
    </row>
    <row r="40" spans="1:13" s="16" customFormat="1" ht="12.75" outlineLevel="1" x14ac:dyDescent="0.2">
      <c r="A40" s="18" t="s">
        <v>8</v>
      </c>
      <c r="B40" s="20" t="s">
        <v>27</v>
      </c>
      <c r="C40" s="19" t="s">
        <v>12</v>
      </c>
      <c r="D40" s="19">
        <v>600</v>
      </c>
      <c r="E40" s="94"/>
      <c r="F40" s="33">
        <f>F19</f>
        <v>60</v>
      </c>
      <c r="G40" s="9">
        <f t="shared" si="5"/>
        <v>60</v>
      </c>
      <c r="H40" s="10">
        <f t="shared" si="6"/>
        <v>0</v>
      </c>
      <c r="I40" s="10">
        <f t="shared" si="6"/>
        <v>36000</v>
      </c>
      <c r="J40" s="10">
        <f t="shared" si="7"/>
        <v>36000</v>
      </c>
      <c r="K40" s="95"/>
      <c r="M40" s="58"/>
    </row>
    <row r="41" spans="1:13" s="16" customFormat="1" ht="12.75" outlineLevel="1" x14ac:dyDescent="0.2">
      <c r="A41" s="18" t="s">
        <v>19</v>
      </c>
      <c r="B41" s="20" t="s">
        <v>28</v>
      </c>
      <c r="C41" s="19" t="s">
        <v>12</v>
      </c>
      <c r="D41" s="19">
        <v>670</v>
      </c>
      <c r="E41" s="94"/>
      <c r="F41" s="33">
        <f>F19</f>
        <v>60</v>
      </c>
      <c r="G41" s="9">
        <f t="shared" si="5"/>
        <v>60</v>
      </c>
      <c r="H41" s="10">
        <f t="shared" si="6"/>
        <v>0</v>
      </c>
      <c r="I41" s="10">
        <f t="shared" si="6"/>
        <v>40200</v>
      </c>
      <c r="J41" s="10">
        <f t="shared" si="7"/>
        <v>40200</v>
      </c>
      <c r="K41" s="95"/>
      <c r="M41" s="58"/>
    </row>
    <row r="42" spans="1:13" s="16" customFormat="1" ht="12.75" outlineLevel="1" x14ac:dyDescent="0.2">
      <c r="A42" s="18" t="s">
        <v>32</v>
      </c>
      <c r="B42" s="20" t="s">
        <v>29</v>
      </c>
      <c r="C42" s="19" t="s">
        <v>13</v>
      </c>
      <c r="D42" s="19">
        <v>2</v>
      </c>
      <c r="E42" s="94"/>
      <c r="F42" s="33">
        <f>F21</f>
        <v>3500</v>
      </c>
      <c r="G42" s="9">
        <f t="shared" si="5"/>
        <v>3500</v>
      </c>
      <c r="H42" s="10">
        <f t="shared" si="6"/>
        <v>0</v>
      </c>
      <c r="I42" s="10">
        <f t="shared" si="6"/>
        <v>7000</v>
      </c>
      <c r="J42" s="10">
        <f t="shared" si="7"/>
        <v>7000</v>
      </c>
      <c r="K42" s="95"/>
      <c r="M42" s="58"/>
    </row>
    <row r="43" spans="1:13" s="16" customFormat="1" ht="12.75" outlineLevel="1" x14ac:dyDescent="0.2">
      <c r="A43" s="18" t="s">
        <v>33</v>
      </c>
      <c r="B43" s="20" t="s">
        <v>30</v>
      </c>
      <c r="C43" s="19" t="s">
        <v>13</v>
      </c>
      <c r="D43" s="19">
        <v>4</v>
      </c>
      <c r="E43" s="94"/>
      <c r="F43" s="33">
        <f>F21</f>
        <v>3500</v>
      </c>
      <c r="G43" s="9">
        <f t="shared" si="5"/>
        <v>3500</v>
      </c>
      <c r="H43" s="10">
        <f t="shared" si="6"/>
        <v>0</v>
      </c>
      <c r="I43" s="10">
        <f t="shared" si="6"/>
        <v>14000</v>
      </c>
      <c r="J43" s="10">
        <f t="shared" si="7"/>
        <v>14000</v>
      </c>
      <c r="K43" s="95"/>
      <c r="M43" s="58"/>
    </row>
    <row r="44" spans="1:13" s="16" customFormat="1" ht="12.75" outlineLevel="1" x14ac:dyDescent="0.2">
      <c r="A44" s="18" t="s">
        <v>34</v>
      </c>
      <c r="B44" s="20" t="s">
        <v>31</v>
      </c>
      <c r="C44" s="19" t="s">
        <v>13</v>
      </c>
      <c r="D44" s="19">
        <v>4</v>
      </c>
      <c r="E44" s="94"/>
      <c r="F44" s="33">
        <f>F22</f>
        <v>500</v>
      </c>
      <c r="G44" s="9">
        <f t="shared" si="5"/>
        <v>500</v>
      </c>
      <c r="H44" s="10">
        <f t="shared" si="6"/>
        <v>0</v>
      </c>
      <c r="I44" s="10">
        <f t="shared" si="6"/>
        <v>2000</v>
      </c>
      <c r="J44" s="10">
        <f t="shared" si="7"/>
        <v>2000</v>
      </c>
      <c r="K44" s="95"/>
      <c r="M44" s="58"/>
    </row>
    <row r="45" spans="1:13" s="16" customFormat="1" ht="12.75" outlineLevel="1" x14ac:dyDescent="0.2">
      <c r="A45" s="36" t="s">
        <v>21</v>
      </c>
      <c r="B45" s="39" t="s">
        <v>22</v>
      </c>
      <c r="C45" s="38"/>
      <c r="D45" s="38"/>
      <c r="E45" s="98"/>
      <c r="F45" s="35"/>
      <c r="G45" s="34"/>
      <c r="H45" s="50">
        <f>SUM(H46:H51)</f>
        <v>11840</v>
      </c>
      <c r="I45" s="50">
        <f>SUM(I46:I51)</f>
        <v>70400</v>
      </c>
      <c r="J45" s="50">
        <f>SUM(J46:J51)</f>
        <v>82240</v>
      </c>
      <c r="K45" s="90"/>
      <c r="M45" s="58"/>
    </row>
    <row r="46" spans="1:13" s="16" customFormat="1" ht="12.75" outlineLevel="1" x14ac:dyDescent="0.2">
      <c r="A46" s="18" t="s">
        <v>23</v>
      </c>
      <c r="B46" s="20" t="s">
        <v>38</v>
      </c>
      <c r="C46" s="19" t="s">
        <v>13</v>
      </c>
      <c r="D46" s="21">
        <v>10</v>
      </c>
      <c r="E46" s="94"/>
      <c r="F46" s="33">
        <f>F27</f>
        <v>2000</v>
      </c>
      <c r="G46" s="9">
        <f t="shared" ref="G46:G51" si="8">ROUND(F46+E46,2)</f>
        <v>2000</v>
      </c>
      <c r="H46" s="10">
        <f t="shared" ref="H46:I51" si="9">E46*$D46</f>
        <v>0</v>
      </c>
      <c r="I46" s="10">
        <f t="shared" si="9"/>
        <v>20000</v>
      </c>
      <c r="J46" s="10">
        <f t="shared" ref="J46:J51" si="10">I46+H46</f>
        <v>20000</v>
      </c>
      <c r="K46" s="95"/>
      <c r="M46" s="58"/>
    </row>
    <row r="47" spans="1:13" s="16" customFormat="1" ht="12.75" outlineLevel="1" x14ac:dyDescent="0.2">
      <c r="A47" s="18" t="s">
        <v>24</v>
      </c>
      <c r="B47" s="20" t="s">
        <v>39</v>
      </c>
      <c r="C47" s="19" t="s">
        <v>12</v>
      </c>
      <c r="D47" s="21">
        <v>160</v>
      </c>
      <c r="E47" s="94">
        <v>50</v>
      </c>
      <c r="F47" s="33">
        <f>F25</f>
        <v>220</v>
      </c>
      <c r="G47" s="9">
        <f t="shared" si="8"/>
        <v>270</v>
      </c>
      <c r="H47" s="10">
        <f t="shared" si="9"/>
        <v>8000</v>
      </c>
      <c r="I47" s="10">
        <f t="shared" si="9"/>
        <v>35200</v>
      </c>
      <c r="J47" s="10">
        <f t="shared" si="10"/>
        <v>43200</v>
      </c>
      <c r="K47" s="95"/>
      <c r="M47" s="58"/>
    </row>
    <row r="48" spans="1:13" s="16" customFormat="1" ht="12.75" outlineLevel="1" x14ac:dyDescent="0.2">
      <c r="A48" s="18" t="s">
        <v>25</v>
      </c>
      <c r="B48" s="20" t="s">
        <v>40</v>
      </c>
      <c r="C48" s="19" t="s">
        <v>13</v>
      </c>
      <c r="D48" s="21">
        <v>2</v>
      </c>
      <c r="E48" s="94">
        <v>1600</v>
      </c>
      <c r="F48" s="33">
        <v>1600</v>
      </c>
      <c r="G48" s="9">
        <f t="shared" si="8"/>
        <v>3200</v>
      </c>
      <c r="H48" s="10">
        <f t="shared" si="9"/>
        <v>3200</v>
      </c>
      <c r="I48" s="10">
        <f t="shared" si="9"/>
        <v>3200</v>
      </c>
      <c r="J48" s="10">
        <f t="shared" si="10"/>
        <v>6400</v>
      </c>
      <c r="K48" s="95"/>
      <c r="M48" s="58"/>
    </row>
    <row r="49" spans="1:13" s="16" customFormat="1" ht="12.75" outlineLevel="1" x14ac:dyDescent="0.2">
      <c r="A49" s="18" t="s">
        <v>35</v>
      </c>
      <c r="B49" s="20" t="s">
        <v>41</v>
      </c>
      <c r="C49" s="19" t="s">
        <v>13</v>
      </c>
      <c r="D49" s="21">
        <v>8</v>
      </c>
      <c r="E49" s="94">
        <v>80</v>
      </c>
      <c r="F49" s="33"/>
      <c r="G49" s="9">
        <f t="shared" si="8"/>
        <v>80</v>
      </c>
      <c r="H49" s="10">
        <f t="shared" si="9"/>
        <v>640</v>
      </c>
      <c r="I49" s="10">
        <f t="shared" si="9"/>
        <v>0</v>
      </c>
      <c r="J49" s="10">
        <f t="shared" si="10"/>
        <v>640</v>
      </c>
      <c r="K49" s="95"/>
      <c r="M49" s="58"/>
    </row>
    <row r="50" spans="1:13" s="16" customFormat="1" ht="12.75" outlineLevel="1" x14ac:dyDescent="0.2">
      <c r="A50" s="18" t="s">
        <v>36</v>
      </c>
      <c r="B50" s="20" t="s">
        <v>42</v>
      </c>
      <c r="C50" s="19" t="s">
        <v>43</v>
      </c>
      <c r="D50" s="21">
        <v>1</v>
      </c>
      <c r="E50" s="94"/>
      <c r="F50" s="33">
        <v>4000</v>
      </c>
      <c r="G50" s="9">
        <f t="shared" si="8"/>
        <v>4000</v>
      </c>
      <c r="H50" s="10">
        <f t="shared" si="9"/>
        <v>0</v>
      </c>
      <c r="I50" s="10">
        <f t="shared" si="9"/>
        <v>4000</v>
      </c>
      <c r="J50" s="10">
        <f t="shared" si="10"/>
        <v>4000</v>
      </c>
      <c r="K50" s="95"/>
      <c r="M50" s="58"/>
    </row>
    <row r="51" spans="1:13" s="16" customFormat="1" ht="25.5" outlineLevel="1" x14ac:dyDescent="0.2">
      <c r="A51" s="22" t="s">
        <v>37</v>
      </c>
      <c r="B51" s="27" t="s">
        <v>44</v>
      </c>
      <c r="C51" s="21" t="s">
        <v>43</v>
      </c>
      <c r="D51" s="21">
        <v>1</v>
      </c>
      <c r="E51" s="94"/>
      <c r="F51" s="33">
        <f>F36</f>
        <v>8000</v>
      </c>
      <c r="G51" s="9">
        <f t="shared" si="8"/>
        <v>8000</v>
      </c>
      <c r="H51" s="10">
        <f t="shared" si="9"/>
        <v>0</v>
      </c>
      <c r="I51" s="10">
        <f t="shared" si="9"/>
        <v>8000</v>
      </c>
      <c r="J51" s="10">
        <f t="shared" si="10"/>
        <v>8000</v>
      </c>
      <c r="K51" s="95"/>
      <c r="M51" s="58"/>
    </row>
    <row r="52" spans="1:13" s="16" customFormat="1" ht="25.5" outlineLevel="1" x14ac:dyDescent="0.2">
      <c r="A52" s="51"/>
      <c r="B52" s="56" t="s">
        <v>71</v>
      </c>
      <c r="C52" s="53"/>
      <c r="D52" s="53"/>
      <c r="E52" s="55"/>
      <c r="F52" s="57"/>
      <c r="G52" s="54"/>
      <c r="H52" s="55"/>
      <c r="I52" s="55"/>
      <c r="J52" s="55"/>
      <c r="K52" s="85" t="s">
        <v>123</v>
      </c>
      <c r="M52" s="58"/>
    </row>
    <row r="53" spans="1:13" s="16" customFormat="1" ht="12.75" outlineLevel="1" x14ac:dyDescent="0.2">
      <c r="A53" s="36" t="s">
        <v>11</v>
      </c>
      <c r="B53" s="40" t="s">
        <v>20</v>
      </c>
      <c r="C53" s="38"/>
      <c r="D53" s="38"/>
      <c r="E53" s="98"/>
      <c r="F53" s="35"/>
      <c r="G53" s="34"/>
      <c r="H53" s="50">
        <f>SUM(H54:H60)</f>
        <v>0</v>
      </c>
      <c r="I53" s="50">
        <f>SUM(I54:I60)</f>
        <v>318100</v>
      </c>
      <c r="J53" s="50">
        <f>SUM(J54:J60)</f>
        <v>318100</v>
      </c>
      <c r="K53" s="90"/>
      <c r="M53" s="58"/>
    </row>
    <row r="54" spans="1:13" s="16" customFormat="1" ht="12.75" outlineLevel="1" x14ac:dyDescent="0.2">
      <c r="A54" s="22" t="s">
        <v>7</v>
      </c>
      <c r="B54" s="45" t="s">
        <v>75</v>
      </c>
      <c r="C54" s="47" t="s">
        <v>12</v>
      </c>
      <c r="D54" s="48">
        <v>3160</v>
      </c>
      <c r="E54" s="94"/>
      <c r="F54" s="33">
        <f>F19</f>
        <v>60</v>
      </c>
      <c r="G54" s="9">
        <f t="shared" ref="G54:G59" si="11">ROUND(F54+E54,2)</f>
        <v>60</v>
      </c>
      <c r="H54" s="10">
        <f>E54*$D54</f>
        <v>0</v>
      </c>
      <c r="I54" s="10">
        <f>F54*$D54</f>
        <v>189600</v>
      </c>
      <c r="J54" s="10">
        <f t="shared" ref="J54:J59" si="12">I54+H54</f>
        <v>189600</v>
      </c>
      <c r="K54" s="95"/>
      <c r="M54" s="58"/>
    </row>
    <row r="55" spans="1:13" s="16" customFormat="1" ht="12.75" outlineLevel="1" x14ac:dyDescent="0.2">
      <c r="A55" s="22" t="s">
        <v>8</v>
      </c>
      <c r="B55" s="46" t="s">
        <v>75</v>
      </c>
      <c r="C55" s="47" t="s">
        <v>12</v>
      </c>
      <c r="D55" s="48">
        <v>780</v>
      </c>
      <c r="E55" s="94"/>
      <c r="F55" s="33">
        <f>F19</f>
        <v>60</v>
      </c>
      <c r="G55" s="9">
        <f t="shared" si="11"/>
        <v>60</v>
      </c>
      <c r="H55" s="10">
        <f t="shared" ref="H55:H60" si="13">E55*$D55</f>
        <v>0</v>
      </c>
      <c r="I55" s="10">
        <f t="shared" ref="I55:I60" si="14">F55*$D55</f>
        <v>46800</v>
      </c>
      <c r="J55" s="10">
        <f t="shared" si="12"/>
        <v>46800</v>
      </c>
      <c r="K55" s="95"/>
      <c r="M55" s="58"/>
    </row>
    <row r="56" spans="1:13" s="16" customFormat="1" ht="12.75" outlineLevel="1" x14ac:dyDescent="0.2">
      <c r="A56" s="22" t="s">
        <v>19</v>
      </c>
      <c r="B56" s="45" t="s">
        <v>76</v>
      </c>
      <c r="C56" s="47" t="s">
        <v>12</v>
      </c>
      <c r="D56" s="48">
        <v>250</v>
      </c>
      <c r="E56" s="94"/>
      <c r="F56" s="33">
        <f>F20</f>
        <v>60</v>
      </c>
      <c r="G56" s="9">
        <f t="shared" si="11"/>
        <v>60</v>
      </c>
      <c r="H56" s="10">
        <f t="shared" si="13"/>
        <v>0</v>
      </c>
      <c r="I56" s="10">
        <f t="shared" si="14"/>
        <v>15000</v>
      </c>
      <c r="J56" s="10">
        <f t="shared" si="12"/>
        <v>15000</v>
      </c>
      <c r="K56" s="95"/>
      <c r="M56" s="58"/>
    </row>
    <row r="57" spans="1:13" s="16" customFormat="1" ht="12.75" outlineLevel="1" x14ac:dyDescent="0.2">
      <c r="A57" s="22" t="s">
        <v>32</v>
      </c>
      <c r="B57" s="45" t="s">
        <v>77</v>
      </c>
      <c r="C57" s="47" t="s">
        <v>12</v>
      </c>
      <c r="D57" s="48">
        <v>470</v>
      </c>
      <c r="E57" s="94"/>
      <c r="F57" s="33">
        <f>F20</f>
        <v>60</v>
      </c>
      <c r="G57" s="9">
        <f t="shared" si="11"/>
        <v>60</v>
      </c>
      <c r="H57" s="10">
        <f t="shared" si="13"/>
        <v>0</v>
      </c>
      <c r="I57" s="10">
        <f t="shared" si="14"/>
        <v>28200</v>
      </c>
      <c r="J57" s="10">
        <f t="shared" si="12"/>
        <v>28200</v>
      </c>
      <c r="K57" s="95"/>
      <c r="M57" s="58"/>
    </row>
    <row r="58" spans="1:13" s="16" customFormat="1" ht="12.75" outlineLevel="1" x14ac:dyDescent="0.2">
      <c r="A58" s="22" t="s">
        <v>33</v>
      </c>
      <c r="B58" s="45" t="s">
        <v>78</v>
      </c>
      <c r="C58" s="47" t="s">
        <v>13</v>
      </c>
      <c r="D58" s="48">
        <v>8</v>
      </c>
      <c r="E58" s="94"/>
      <c r="F58" s="33">
        <f>F21</f>
        <v>3500</v>
      </c>
      <c r="G58" s="9">
        <f t="shared" si="11"/>
        <v>3500</v>
      </c>
      <c r="H58" s="10">
        <f t="shared" si="13"/>
        <v>0</v>
      </c>
      <c r="I58" s="10">
        <f t="shared" si="14"/>
        <v>28000</v>
      </c>
      <c r="J58" s="10">
        <f t="shared" si="12"/>
        <v>28000</v>
      </c>
      <c r="K58" s="95"/>
      <c r="M58" s="58"/>
    </row>
    <row r="59" spans="1:13" s="16" customFormat="1" ht="12.75" outlineLevel="1" x14ac:dyDescent="0.2">
      <c r="A59" s="22" t="s">
        <v>34</v>
      </c>
      <c r="B59" s="45" t="s">
        <v>79</v>
      </c>
      <c r="C59" s="47" t="s">
        <v>13</v>
      </c>
      <c r="D59" s="47">
        <v>2</v>
      </c>
      <c r="E59" s="94"/>
      <c r="F59" s="33">
        <f>F21</f>
        <v>3500</v>
      </c>
      <c r="G59" s="9">
        <f t="shared" si="11"/>
        <v>3500</v>
      </c>
      <c r="H59" s="10">
        <f t="shared" si="13"/>
        <v>0</v>
      </c>
      <c r="I59" s="10">
        <f t="shared" si="14"/>
        <v>7000</v>
      </c>
      <c r="J59" s="10">
        <f t="shared" si="12"/>
        <v>7000</v>
      </c>
      <c r="K59" s="95"/>
      <c r="M59" s="58"/>
    </row>
    <row r="60" spans="1:13" s="16" customFormat="1" ht="12.75" outlineLevel="1" x14ac:dyDescent="0.2">
      <c r="A60" s="22" t="s">
        <v>74</v>
      </c>
      <c r="B60" s="45" t="s">
        <v>80</v>
      </c>
      <c r="C60" s="47" t="s">
        <v>13</v>
      </c>
      <c r="D60" s="47">
        <v>1</v>
      </c>
      <c r="E60" s="94"/>
      <c r="F60" s="33">
        <f>F21</f>
        <v>3500</v>
      </c>
      <c r="G60" s="9">
        <f>ROUND(F60+E60,2)</f>
        <v>3500</v>
      </c>
      <c r="H60" s="10">
        <f t="shared" si="13"/>
        <v>0</v>
      </c>
      <c r="I60" s="10">
        <f t="shared" si="14"/>
        <v>3500</v>
      </c>
      <c r="J60" s="10">
        <f>I60+H60</f>
        <v>3500</v>
      </c>
      <c r="K60" s="95"/>
      <c r="M60" s="58"/>
    </row>
    <row r="61" spans="1:13" s="16" customFormat="1" ht="12.75" outlineLevel="1" x14ac:dyDescent="0.2">
      <c r="A61" s="36" t="s">
        <v>21</v>
      </c>
      <c r="B61" s="41" t="s">
        <v>22</v>
      </c>
      <c r="C61" s="38"/>
      <c r="D61" s="38"/>
      <c r="E61" s="98"/>
      <c r="F61" s="35"/>
      <c r="G61" s="34"/>
      <c r="H61" s="50">
        <f>SUM(H62:H86)</f>
        <v>151348</v>
      </c>
      <c r="I61" s="50">
        <f>SUM(I62:I86)</f>
        <v>475360</v>
      </c>
      <c r="J61" s="50">
        <f>SUM(J62:J86)</f>
        <v>626708</v>
      </c>
      <c r="K61" s="90"/>
      <c r="M61" s="58"/>
    </row>
    <row r="62" spans="1:13" s="16" customFormat="1" ht="12.75" outlineLevel="1" x14ac:dyDescent="0.2">
      <c r="A62" s="22" t="s">
        <v>23</v>
      </c>
      <c r="B62" s="46" t="s">
        <v>94</v>
      </c>
      <c r="C62" s="47" t="s">
        <v>12</v>
      </c>
      <c r="D62" s="48">
        <v>1748</v>
      </c>
      <c r="E62" s="94"/>
      <c r="F62" s="33">
        <f>F25</f>
        <v>220</v>
      </c>
      <c r="G62" s="9">
        <f>ROUND(F62+E62,2)</f>
        <v>220</v>
      </c>
      <c r="H62" s="10">
        <f>E62*$D62</f>
        <v>0</v>
      </c>
      <c r="I62" s="10">
        <f>F62*$D62</f>
        <v>384560</v>
      </c>
      <c r="J62" s="10">
        <f>I62+H62</f>
        <v>384560</v>
      </c>
      <c r="K62" s="95"/>
      <c r="M62" s="58"/>
    </row>
    <row r="63" spans="1:13" s="16" customFormat="1" ht="12.75" outlineLevel="1" x14ac:dyDescent="0.2">
      <c r="A63" s="22" t="s">
        <v>24</v>
      </c>
      <c r="B63" s="45" t="s">
        <v>95</v>
      </c>
      <c r="C63" s="47" t="s">
        <v>12</v>
      </c>
      <c r="D63" s="47">
        <v>90</v>
      </c>
      <c r="E63" s="94"/>
      <c r="F63" s="33">
        <f>F25</f>
        <v>220</v>
      </c>
      <c r="G63" s="9">
        <f t="shared" ref="G63:G86" si="15">ROUND(F63+E63,2)</f>
        <v>220</v>
      </c>
      <c r="H63" s="10">
        <f t="shared" ref="H63:H86" si="16">E63*$D63</f>
        <v>0</v>
      </c>
      <c r="I63" s="10">
        <f t="shared" ref="I63:I86" si="17">F63*$D63</f>
        <v>19800</v>
      </c>
      <c r="J63" s="10">
        <f t="shared" ref="J63:J86" si="18">I63+H63</f>
        <v>19800</v>
      </c>
      <c r="K63" s="95"/>
      <c r="M63" s="58"/>
    </row>
    <row r="64" spans="1:13" s="16" customFormat="1" ht="12.75" outlineLevel="1" x14ac:dyDescent="0.2">
      <c r="A64" s="22" t="s">
        <v>25</v>
      </c>
      <c r="B64" s="45" t="s">
        <v>96</v>
      </c>
      <c r="C64" s="47" t="s">
        <v>13</v>
      </c>
      <c r="D64" s="47">
        <v>1</v>
      </c>
      <c r="E64" s="94">
        <v>3790</v>
      </c>
      <c r="F64" s="33">
        <v>50000</v>
      </c>
      <c r="G64" s="9">
        <f t="shared" si="15"/>
        <v>53790</v>
      </c>
      <c r="H64" s="10">
        <f t="shared" si="16"/>
        <v>3790</v>
      </c>
      <c r="I64" s="10">
        <f t="shared" si="17"/>
        <v>50000</v>
      </c>
      <c r="J64" s="10">
        <f t="shared" si="18"/>
        <v>53790</v>
      </c>
      <c r="K64" s="95" t="s">
        <v>120</v>
      </c>
      <c r="M64" s="58"/>
    </row>
    <row r="65" spans="1:13" s="16" customFormat="1" ht="12.75" outlineLevel="1" x14ac:dyDescent="0.2">
      <c r="A65" s="22" t="s">
        <v>35</v>
      </c>
      <c r="B65" s="45" t="s">
        <v>97</v>
      </c>
      <c r="C65" s="47" t="s">
        <v>13</v>
      </c>
      <c r="D65" s="47">
        <v>1</v>
      </c>
      <c r="E65" s="94">
        <v>218</v>
      </c>
      <c r="F65" s="33"/>
      <c r="G65" s="9">
        <f t="shared" si="15"/>
        <v>218</v>
      </c>
      <c r="H65" s="10">
        <f t="shared" si="16"/>
        <v>218</v>
      </c>
      <c r="I65" s="10">
        <f t="shared" si="17"/>
        <v>0</v>
      </c>
      <c r="J65" s="10">
        <f t="shared" si="18"/>
        <v>218</v>
      </c>
      <c r="K65" s="95"/>
      <c r="M65" s="58"/>
    </row>
    <row r="66" spans="1:13" s="16" customFormat="1" ht="12.75" outlineLevel="1" x14ac:dyDescent="0.2">
      <c r="A66" s="22" t="s">
        <v>36</v>
      </c>
      <c r="B66" s="45" t="s">
        <v>98</v>
      </c>
      <c r="C66" s="47" t="s">
        <v>13</v>
      </c>
      <c r="D66" s="47">
        <v>1</v>
      </c>
      <c r="E66" s="94">
        <v>19400</v>
      </c>
      <c r="F66" s="33">
        <f>F58*6</f>
        <v>21000</v>
      </c>
      <c r="G66" s="9">
        <f>ROUND(F66+E66,2)</f>
        <v>40400</v>
      </c>
      <c r="H66" s="10">
        <f t="shared" si="16"/>
        <v>19400</v>
      </c>
      <c r="I66" s="10">
        <f>F66*$D66</f>
        <v>21000</v>
      </c>
      <c r="J66" s="10">
        <f t="shared" si="18"/>
        <v>40400</v>
      </c>
      <c r="K66" s="95"/>
      <c r="M66" s="58"/>
    </row>
    <row r="67" spans="1:13" s="16" customFormat="1" ht="12.75" outlineLevel="1" x14ac:dyDescent="0.2">
      <c r="A67" s="22" t="s">
        <v>37</v>
      </c>
      <c r="B67" s="23" t="s">
        <v>99</v>
      </c>
      <c r="C67" s="21" t="s">
        <v>13</v>
      </c>
      <c r="D67" s="21">
        <v>1</v>
      </c>
      <c r="E67" s="94">
        <v>15960</v>
      </c>
      <c r="F67" s="33"/>
      <c r="G67" s="9">
        <f>ROUND(F67+E67,2)</f>
        <v>15960</v>
      </c>
      <c r="H67" s="10">
        <f t="shared" si="16"/>
        <v>15960</v>
      </c>
      <c r="I67" s="10">
        <f>F67*$D67</f>
        <v>0</v>
      </c>
      <c r="J67" s="10">
        <f t="shared" si="18"/>
        <v>15960</v>
      </c>
      <c r="K67" s="95"/>
      <c r="M67" s="58"/>
    </row>
    <row r="68" spans="1:13" s="16" customFormat="1" ht="12.75" outlineLevel="1" x14ac:dyDescent="0.2">
      <c r="A68" s="22" t="s">
        <v>45</v>
      </c>
      <c r="B68" s="23" t="s">
        <v>100</v>
      </c>
      <c r="C68" s="21" t="s">
        <v>13</v>
      </c>
      <c r="D68" s="21">
        <v>4</v>
      </c>
      <c r="E68" s="94">
        <v>410</v>
      </c>
      <c r="F68" s="33"/>
      <c r="G68" s="9">
        <f t="shared" si="15"/>
        <v>410</v>
      </c>
      <c r="H68" s="10">
        <f t="shared" si="16"/>
        <v>1640</v>
      </c>
      <c r="I68" s="10">
        <f t="shared" si="17"/>
        <v>0</v>
      </c>
      <c r="J68" s="10">
        <f t="shared" si="18"/>
        <v>1640</v>
      </c>
      <c r="K68" s="95"/>
      <c r="M68" s="58"/>
    </row>
    <row r="69" spans="1:13" s="16" customFormat="1" ht="12.75" outlineLevel="1" x14ac:dyDescent="0.2">
      <c r="A69" s="22" t="s">
        <v>61</v>
      </c>
      <c r="B69" s="45" t="s">
        <v>101</v>
      </c>
      <c r="C69" s="47" t="s">
        <v>13</v>
      </c>
      <c r="D69" s="47">
        <v>4</v>
      </c>
      <c r="E69" s="94">
        <v>600</v>
      </c>
      <c r="F69" s="33"/>
      <c r="G69" s="9">
        <f t="shared" si="15"/>
        <v>600</v>
      </c>
      <c r="H69" s="10">
        <f t="shared" si="16"/>
        <v>2400</v>
      </c>
      <c r="I69" s="10">
        <f t="shared" si="17"/>
        <v>0</v>
      </c>
      <c r="J69" s="10">
        <f t="shared" si="18"/>
        <v>2400</v>
      </c>
      <c r="K69" s="95"/>
      <c r="M69" s="58"/>
    </row>
    <row r="70" spans="1:13" s="16" customFormat="1" ht="12.75" outlineLevel="1" x14ac:dyDescent="0.2">
      <c r="A70" s="22" t="s">
        <v>62</v>
      </c>
      <c r="B70" s="45" t="s">
        <v>102</v>
      </c>
      <c r="C70" s="47" t="s">
        <v>13</v>
      </c>
      <c r="D70" s="47">
        <v>4</v>
      </c>
      <c r="E70" s="94">
        <v>420</v>
      </c>
      <c r="F70" s="33"/>
      <c r="G70" s="9">
        <f t="shared" si="15"/>
        <v>420</v>
      </c>
      <c r="H70" s="10">
        <f t="shared" si="16"/>
        <v>1680</v>
      </c>
      <c r="I70" s="10">
        <f t="shared" si="17"/>
        <v>0</v>
      </c>
      <c r="J70" s="10">
        <f t="shared" si="18"/>
        <v>1680</v>
      </c>
      <c r="K70" s="95"/>
      <c r="M70" s="58"/>
    </row>
    <row r="71" spans="1:13" s="16" customFormat="1" ht="12.75" outlineLevel="1" x14ac:dyDescent="0.2">
      <c r="A71" s="22" t="s">
        <v>63</v>
      </c>
      <c r="B71" s="45" t="s">
        <v>103</v>
      </c>
      <c r="C71" s="47" t="s">
        <v>12</v>
      </c>
      <c r="D71" s="47">
        <v>10</v>
      </c>
      <c r="E71" s="94">
        <v>100</v>
      </c>
      <c r="F71" s="33"/>
      <c r="G71" s="9">
        <f t="shared" si="15"/>
        <v>100</v>
      </c>
      <c r="H71" s="10">
        <f t="shared" si="16"/>
        <v>1000</v>
      </c>
      <c r="I71" s="10">
        <f t="shared" si="17"/>
        <v>0</v>
      </c>
      <c r="J71" s="10">
        <f t="shared" si="18"/>
        <v>1000</v>
      </c>
      <c r="K71" s="95"/>
      <c r="M71" s="58"/>
    </row>
    <row r="72" spans="1:13" s="16" customFormat="1" ht="12.75" outlineLevel="1" x14ac:dyDescent="0.2">
      <c r="A72" s="22" t="s">
        <v>64</v>
      </c>
      <c r="B72" s="45" t="s">
        <v>104</v>
      </c>
      <c r="C72" s="47" t="s">
        <v>13</v>
      </c>
      <c r="D72" s="47">
        <v>6</v>
      </c>
      <c r="E72" s="94">
        <v>8000</v>
      </c>
      <c r="F72" s="33"/>
      <c r="G72" s="9">
        <f t="shared" si="15"/>
        <v>8000</v>
      </c>
      <c r="H72" s="10">
        <f t="shared" si="16"/>
        <v>48000</v>
      </c>
      <c r="I72" s="10">
        <f t="shared" si="17"/>
        <v>0</v>
      </c>
      <c r="J72" s="10">
        <f t="shared" si="18"/>
        <v>48000</v>
      </c>
      <c r="K72" s="95"/>
      <c r="M72" s="58"/>
    </row>
    <row r="73" spans="1:13" s="16" customFormat="1" ht="12.75" outlineLevel="1" x14ac:dyDescent="0.2">
      <c r="A73" s="22" t="s">
        <v>65</v>
      </c>
      <c r="B73" s="45" t="s">
        <v>105</v>
      </c>
      <c r="C73" s="47" t="s">
        <v>13</v>
      </c>
      <c r="D73" s="47">
        <v>4</v>
      </c>
      <c r="E73" s="94">
        <v>1600</v>
      </c>
      <c r="F73" s="33"/>
      <c r="G73" s="9">
        <f t="shared" si="15"/>
        <v>1600</v>
      </c>
      <c r="H73" s="10">
        <f t="shared" si="16"/>
        <v>6400</v>
      </c>
      <c r="I73" s="10">
        <f>F73*$D73</f>
        <v>0</v>
      </c>
      <c r="J73" s="10">
        <f t="shared" si="18"/>
        <v>6400</v>
      </c>
      <c r="K73" s="95"/>
      <c r="M73" s="58"/>
    </row>
    <row r="74" spans="1:13" s="16" customFormat="1" ht="12.75" outlineLevel="1" x14ac:dyDescent="0.2">
      <c r="A74" s="22" t="s">
        <v>81</v>
      </c>
      <c r="B74" s="45" t="s">
        <v>106</v>
      </c>
      <c r="C74" s="47" t="s">
        <v>13</v>
      </c>
      <c r="D74" s="47">
        <v>18</v>
      </c>
      <c r="E74" s="94">
        <v>1400</v>
      </c>
      <c r="F74" s="33"/>
      <c r="G74" s="9">
        <f t="shared" si="15"/>
        <v>1400</v>
      </c>
      <c r="H74" s="10">
        <f t="shared" si="16"/>
        <v>25200</v>
      </c>
      <c r="I74" s="10">
        <f t="shared" si="17"/>
        <v>0</v>
      </c>
      <c r="J74" s="10">
        <f t="shared" si="18"/>
        <v>25200</v>
      </c>
      <c r="K74" s="95"/>
      <c r="M74" s="58"/>
    </row>
    <row r="75" spans="1:13" s="16" customFormat="1" ht="12.75" outlineLevel="1" x14ac:dyDescent="0.2">
      <c r="A75" s="22" t="s">
        <v>82</v>
      </c>
      <c r="B75" s="45" t="s">
        <v>107</v>
      </c>
      <c r="C75" s="47" t="s">
        <v>13</v>
      </c>
      <c r="D75" s="47">
        <v>96</v>
      </c>
      <c r="E75" s="94">
        <v>80</v>
      </c>
      <c r="F75" s="33"/>
      <c r="G75" s="9">
        <f t="shared" si="15"/>
        <v>80</v>
      </c>
      <c r="H75" s="10">
        <f t="shared" si="16"/>
        <v>7680</v>
      </c>
      <c r="I75" s="10">
        <f t="shared" si="17"/>
        <v>0</v>
      </c>
      <c r="J75" s="10">
        <f t="shared" si="18"/>
        <v>7680</v>
      </c>
      <c r="K75" s="95"/>
      <c r="M75" s="58"/>
    </row>
    <row r="76" spans="1:13" s="16" customFormat="1" ht="12.75" outlineLevel="1" x14ac:dyDescent="0.2">
      <c r="A76" s="22" t="s">
        <v>83</v>
      </c>
      <c r="B76" s="45" t="s">
        <v>108</v>
      </c>
      <c r="C76" s="47" t="s">
        <v>109</v>
      </c>
      <c r="D76" s="47">
        <v>1</v>
      </c>
      <c r="E76" s="94">
        <v>180</v>
      </c>
      <c r="F76" s="33"/>
      <c r="G76" s="9">
        <f t="shared" si="15"/>
        <v>180</v>
      </c>
      <c r="H76" s="10">
        <f t="shared" si="16"/>
        <v>180</v>
      </c>
      <c r="I76" s="10">
        <f t="shared" si="17"/>
        <v>0</v>
      </c>
      <c r="J76" s="10">
        <f>I76+H76</f>
        <v>180</v>
      </c>
      <c r="K76" s="95"/>
      <c r="M76" s="58"/>
    </row>
    <row r="77" spans="1:13" s="16" customFormat="1" ht="12.75" outlineLevel="1" x14ac:dyDescent="0.2">
      <c r="A77" s="22" t="s">
        <v>84</v>
      </c>
      <c r="B77" s="45" t="s">
        <v>110</v>
      </c>
      <c r="C77" s="47" t="s">
        <v>109</v>
      </c>
      <c r="D77" s="47">
        <v>1</v>
      </c>
      <c r="E77" s="94">
        <v>300</v>
      </c>
      <c r="F77" s="33"/>
      <c r="G77" s="9">
        <f t="shared" si="15"/>
        <v>300</v>
      </c>
      <c r="H77" s="10">
        <f>E77*$D77</f>
        <v>300</v>
      </c>
      <c r="I77" s="10">
        <f t="shared" si="17"/>
        <v>0</v>
      </c>
      <c r="J77" s="10">
        <f t="shared" si="18"/>
        <v>300</v>
      </c>
      <c r="K77" s="95"/>
      <c r="M77" s="58"/>
    </row>
    <row r="78" spans="1:13" s="16" customFormat="1" ht="12.75" outlineLevel="1" x14ac:dyDescent="0.2">
      <c r="A78" s="22" t="s">
        <v>85</v>
      </c>
      <c r="B78" s="45" t="s">
        <v>111</v>
      </c>
      <c r="C78" s="47" t="s">
        <v>109</v>
      </c>
      <c r="D78" s="47">
        <v>2</v>
      </c>
      <c r="E78" s="94">
        <v>5000</v>
      </c>
      <c r="F78" s="33"/>
      <c r="G78" s="9">
        <f t="shared" si="15"/>
        <v>5000</v>
      </c>
      <c r="H78" s="10">
        <f t="shared" si="16"/>
        <v>10000</v>
      </c>
      <c r="I78" s="10">
        <f t="shared" si="17"/>
        <v>0</v>
      </c>
      <c r="J78" s="10">
        <f t="shared" si="18"/>
        <v>10000</v>
      </c>
      <c r="K78" s="95"/>
      <c r="M78" s="58"/>
    </row>
    <row r="79" spans="1:13" s="16" customFormat="1" ht="12.75" outlineLevel="1" x14ac:dyDescent="0.2">
      <c r="A79" s="22" t="s">
        <v>86</v>
      </c>
      <c r="B79" s="45" t="s">
        <v>112</v>
      </c>
      <c r="C79" s="47" t="s">
        <v>12</v>
      </c>
      <c r="D79" s="47">
        <v>41</v>
      </c>
      <c r="E79" s="94">
        <v>50</v>
      </c>
      <c r="F79" s="33"/>
      <c r="G79" s="9">
        <f t="shared" si="15"/>
        <v>50</v>
      </c>
      <c r="H79" s="10">
        <f t="shared" si="16"/>
        <v>2050</v>
      </c>
      <c r="I79" s="10">
        <f t="shared" si="17"/>
        <v>0</v>
      </c>
      <c r="J79" s="10">
        <f t="shared" si="18"/>
        <v>2050</v>
      </c>
      <c r="K79" s="95"/>
      <c r="M79" s="58"/>
    </row>
    <row r="80" spans="1:13" s="16" customFormat="1" ht="12.75" outlineLevel="1" x14ac:dyDescent="0.2">
      <c r="A80" s="22" t="s">
        <v>87</v>
      </c>
      <c r="B80" s="45" t="s">
        <v>113</v>
      </c>
      <c r="C80" s="47" t="s">
        <v>12</v>
      </c>
      <c r="D80" s="47">
        <v>2</v>
      </c>
      <c r="E80" s="94">
        <v>210</v>
      </c>
      <c r="F80" s="33"/>
      <c r="G80" s="9">
        <f t="shared" si="15"/>
        <v>210</v>
      </c>
      <c r="H80" s="10">
        <f t="shared" si="16"/>
        <v>420</v>
      </c>
      <c r="I80" s="10">
        <f t="shared" si="17"/>
        <v>0</v>
      </c>
      <c r="J80" s="10">
        <f t="shared" si="18"/>
        <v>420</v>
      </c>
      <c r="K80" s="95"/>
      <c r="M80" s="58"/>
    </row>
    <row r="81" spans="1:14" s="16" customFormat="1" ht="12.75" outlineLevel="1" x14ac:dyDescent="0.2">
      <c r="A81" s="22" t="s">
        <v>88</v>
      </c>
      <c r="B81" s="45" t="s">
        <v>114</v>
      </c>
      <c r="C81" s="47" t="s">
        <v>12</v>
      </c>
      <c r="D81" s="47">
        <v>90</v>
      </c>
      <c r="E81" s="94">
        <v>30</v>
      </c>
      <c r="F81" s="33"/>
      <c r="G81" s="9">
        <f t="shared" si="15"/>
        <v>30</v>
      </c>
      <c r="H81" s="10">
        <f t="shared" si="16"/>
        <v>2700</v>
      </c>
      <c r="I81" s="10">
        <f t="shared" si="17"/>
        <v>0</v>
      </c>
      <c r="J81" s="10">
        <f t="shared" si="18"/>
        <v>2700</v>
      </c>
      <c r="K81" s="95"/>
      <c r="M81" s="58"/>
    </row>
    <row r="82" spans="1:14" s="16" customFormat="1" ht="12.75" outlineLevel="1" x14ac:dyDescent="0.2">
      <c r="A82" s="22" t="s">
        <v>89</v>
      </c>
      <c r="B82" s="23" t="s">
        <v>115</v>
      </c>
      <c r="C82" s="21" t="s">
        <v>13</v>
      </c>
      <c r="D82" s="21">
        <v>2</v>
      </c>
      <c r="E82" s="94">
        <v>50</v>
      </c>
      <c r="F82" s="33"/>
      <c r="G82" s="9">
        <f t="shared" si="15"/>
        <v>50</v>
      </c>
      <c r="H82" s="10">
        <f t="shared" si="16"/>
        <v>100</v>
      </c>
      <c r="I82" s="10">
        <f t="shared" si="17"/>
        <v>0</v>
      </c>
      <c r="J82" s="10">
        <f t="shared" si="18"/>
        <v>100</v>
      </c>
      <c r="K82" s="95"/>
      <c r="M82" s="58"/>
    </row>
    <row r="83" spans="1:14" s="16" customFormat="1" ht="12.75" outlineLevel="1" x14ac:dyDescent="0.2">
      <c r="A83" s="22" t="s">
        <v>90</v>
      </c>
      <c r="B83" s="23" t="s">
        <v>116</v>
      </c>
      <c r="C83" s="21" t="s">
        <v>13</v>
      </c>
      <c r="D83" s="21">
        <v>2</v>
      </c>
      <c r="E83" s="94">
        <v>215</v>
      </c>
      <c r="F83" s="33"/>
      <c r="G83" s="9">
        <f t="shared" si="15"/>
        <v>215</v>
      </c>
      <c r="H83" s="10">
        <f t="shared" si="16"/>
        <v>430</v>
      </c>
      <c r="I83" s="10">
        <f t="shared" si="17"/>
        <v>0</v>
      </c>
      <c r="J83" s="10">
        <f t="shared" si="18"/>
        <v>430</v>
      </c>
      <c r="K83" s="95"/>
    </row>
    <row r="84" spans="1:14" s="16" customFormat="1" ht="12.75" outlineLevel="1" x14ac:dyDescent="0.2">
      <c r="A84" s="22" t="s">
        <v>91</v>
      </c>
      <c r="B84" s="23" t="s">
        <v>117</v>
      </c>
      <c r="C84" s="21" t="s">
        <v>13</v>
      </c>
      <c r="D84" s="21">
        <v>2</v>
      </c>
      <c r="E84" s="94">
        <v>210</v>
      </c>
      <c r="F84" s="33"/>
      <c r="G84" s="9">
        <f t="shared" si="15"/>
        <v>210</v>
      </c>
      <c r="H84" s="10">
        <f t="shared" si="16"/>
        <v>420</v>
      </c>
      <c r="I84" s="10">
        <f t="shared" si="17"/>
        <v>0</v>
      </c>
      <c r="J84" s="10">
        <f t="shared" si="18"/>
        <v>420</v>
      </c>
      <c r="K84" s="95"/>
    </row>
    <row r="85" spans="1:14" s="16" customFormat="1" ht="12.75" outlineLevel="1" x14ac:dyDescent="0.2">
      <c r="A85" s="22" t="s">
        <v>92</v>
      </c>
      <c r="B85" s="23" t="s">
        <v>118</v>
      </c>
      <c r="C85" s="21" t="s">
        <v>13</v>
      </c>
      <c r="D85" s="21">
        <v>2</v>
      </c>
      <c r="E85" s="94">
        <v>50</v>
      </c>
      <c r="F85" s="33"/>
      <c r="G85" s="9">
        <f t="shared" si="15"/>
        <v>50</v>
      </c>
      <c r="H85" s="10">
        <f t="shared" si="16"/>
        <v>100</v>
      </c>
      <c r="I85" s="10">
        <f t="shared" si="17"/>
        <v>0</v>
      </c>
      <c r="J85" s="10">
        <f t="shared" si="18"/>
        <v>100</v>
      </c>
      <c r="K85" s="95"/>
    </row>
    <row r="86" spans="1:14" s="16" customFormat="1" ht="12.75" outlineLevel="1" x14ac:dyDescent="0.2">
      <c r="A86" s="22" t="s">
        <v>93</v>
      </c>
      <c r="B86" s="23" t="s">
        <v>119</v>
      </c>
      <c r="C86" s="21" t="s">
        <v>13</v>
      </c>
      <c r="D86" s="21">
        <v>8</v>
      </c>
      <c r="E86" s="94">
        <v>160</v>
      </c>
      <c r="F86" s="33"/>
      <c r="G86" s="9">
        <f t="shared" si="15"/>
        <v>160</v>
      </c>
      <c r="H86" s="10">
        <f t="shared" si="16"/>
        <v>1280</v>
      </c>
      <c r="I86" s="10">
        <f t="shared" si="17"/>
        <v>0</v>
      </c>
      <c r="J86" s="10">
        <f t="shared" si="18"/>
        <v>1280</v>
      </c>
      <c r="K86" s="95"/>
    </row>
    <row r="87" spans="1:14" s="16" customFormat="1" ht="20.100000000000001" customHeight="1" x14ac:dyDescent="0.2">
      <c r="A87" s="100" t="s">
        <v>67</v>
      </c>
      <c r="B87" s="100"/>
      <c r="C87" s="100"/>
      <c r="D87" s="100"/>
      <c r="E87" s="75"/>
      <c r="F87" s="76"/>
      <c r="G87" s="76"/>
      <c r="H87" s="75">
        <f>SUM(H18,H24,H38,H45,H53,H61)</f>
        <v>297288</v>
      </c>
      <c r="I87" s="75">
        <f>SUM(I18,I24,I38,I45,I53,I61)</f>
        <v>1348420</v>
      </c>
      <c r="J87" s="75">
        <f>SUM(J18,J24,J38,J45,J53,J61)</f>
        <v>1645708</v>
      </c>
      <c r="K87" s="75"/>
    </row>
    <row r="88" spans="1:14" s="16" customFormat="1" ht="20.100000000000001" customHeight="1" x14ac:dyDescent="0.2">
      <c r="A88" s="104" t="s">
        <v>68</v>
      </c>
      <c r="B88" s="104"/>
      <c r="C88" s="104"/>
      <c r="D88" s="104"/>
      <c r="E88" s="42"/>
      <c r="F88" s="43"/>
      <c r="G88" s="44"/>
      <c r="H88" s="42">
        <f>H87*0.22</f>
        <v>65403.360000000001</v>
      </c>
      <c r="I88" s="42">
        <f>I87*0.22</f>
        <v>296652.40000000002</v>
      </c>
      <c r="J88" s="42">
        <f>J87*0.22</f>
        <v>362055.76</v>
      </c>
      <c r="K88" s="75"/>
    </row>
    <row r="89" spans="1:14" s="16" customFormat="1" ht="20.100000000000001" customHeight="1" x14ac:dyDescent="0.2">
      <c r="A89" s="100" t="s">
        <v>69</v>
      </c>
      <c r="B89" s="100"/>
      <c r="C89" s="100"/>
      <c r="D89" s="100"/>
      <c r="E89" s="75"/>
      <c r="F89" s="76"/>
      <c r="G89" s="76"/>
      <c r="H89" s="75">
        <f>H88+H87</f>
        <v>362691.36</v>
      </c>
      <c r="I89" s="75">
        <f>I88+I87</f>
        <v>1645072.4</v>
      </c>
      <c r="J89" s="75">
        <f>J88+J87</f>
        <v>2007763.76</v>
      </c>
      <c r="K89" s="75"/>
      <c r="M89" s="58"/>
    </row>
    <row r="90" spans="1:14" s="16" customFormat="1" ht="20.100000000000001" customHeight="1" x14ac:dyDescent="0.2">
      <c r="A90" s="67"/>
      <c r="B90" s="67"/>
      <c r="C90" s="67"/>
      <c r="D90" s="67"/>
      <c r="E90" s="68"/>
      <c r="F90" s="69"/>
      <c r="G90" s="69"/>
      <c r="H90" s="68"/>
      <c r="I90" s="68"/>
      <c r="J90" s="68"/>
      <c r="K90" s="68"/>
      <c r="M90" s="58"/>
    </row>
    <row r="91" spans="1:14" s="16" customFormat="1" ht="20.100000000000001" customHeight="1" x14ac:dyDescent="0.2">
      <c r="A91" s="67"/>
      <c r="B91" s="67"/>
      <c r="C91" s="67"/>
      <c r="D91" s="67"/>
      <c r="E91" s="68"/>
      <c r="F91" s="69"/>
      <c r="G91" s="69"/>
      <c r="H91" s="68"/>
      <c r="I91" s="68"/>
      <c r="J91" s="68"/>
      <c r="K91" s="68"/>
      <c r="M91" s="58"/>
    </row>
    <row r="92" spans="1:14" s="16" customFormat="1" ht="30" customHeight="1" x14ac:dyDescent="0.2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5"/>
      <c r="M92" s="5"/>
      <c r="N92" s="5"/>
    </row>
    <row r="93" spans="1:14" ht="14.25" x14ac:dyDescent="0.2">
      <c r="A93" s="65"/>
      <c r="B93" s="71"/>
      <c r="C93" s="4"/>
      <c r="D93" s="4"/>
      <c r="E93" s="72" t="s">
        <v>124</v>
      </c>
      <c r="F93" s="73"/>
      <c r="G93" s="71"/>
      <c r="H93" s="66"/>
      <c r="I93" s="66"/>
      <c r="J93" s="74" t="s">
        <v>125</v>
      </c>
      <c r="K93" s="66"/>
    </row>
    <row r="94" spans="1:14" x14ac:dyDescent="0.2">
      <c r="A94" s="24"/>
      <c r="B94" s="6"/>
      <c r="M94" s="58"/>
    </row>
    <row r="95" spans="1:14" x14ac:dyDescent="0.2">
      <c r="B95" s="6"/>
      <c r="M95" s="58"/>
    </row>
    <row r="96" spans="1:14" x14ac:dyDescent="0.2">
      <c r="B96" s="6"/>
      <c r="M96" s="58"/>
    </row>
    <row r="97" spans="13:13" x14ac:dyDescent="0.2">
      <c r="M97" s="58"/>
    </row>
    <row r="98" spans="13:13" x14ac:dyDescent="0.2">
      <c r="M98" s="58"/>
    </row>
    <row r="99" spans="13:13" x14ac:dyDescent="0.2">
      <c r="M99" s="58"/>
    </row>
    <row r="100" spans="13:13" x14ac:dyDescent="0.2">
      <c r="M100" s="58"/>
    </row>
    <row r="101" spans="13:13" x14ac:dyDescent="0.2">
      <c r="M101" s="58"/>
    </row>
    <row r="102" spans="13:13" x14ac:dyDescent="0.2">
      <c r="M102" s="58"/>
    </row>
    <row r="103" spans="13:13" x14ac:dyDescent="0.2">
      <c r="M103" s="58"/>
    </row>
    <row r="104" spans="13:13" x14ac:dyDescent="0.2">
      <c r="M104" s="58"/>
    </row>
    <row r="105" spans="13:13" x14ac:dyDescent="0.2">
      <c r="M105" s="58"/>
    </row>
    <row r="106" spans="13:13" x14ac:dyDescent="0.2">
      <c r="M106" s="58"/>
    </row>
    <row r="107" spans="13:13" x14ac:dyDescent="0.2">
      <c r="M107" s="58"/>
    </row>
    <row r="108" spans="13:13" x14ac:dyDescent="0.2">
      <c r="M108" s="58"/>
    </row>
    <row r="109" spans="13:13" x14ac:dyDescent="0.2">
      <c r="M109" s="58"/>
    </row>
    <row r="110" spans="13:13" x14ac:dyDescent="0.2">
      <c r="M110" s="58"/>
    </row>
    <row r="111" spans="13:13" x14ac:dyDescent="0.2">
      <c r="M111" s="58"/>
    </row>
    <row r="112" spans="13:13" x14ac:dyDescent="0.2">
      <c r="M112" s="58"/>
    </row>
    <row r="113" spans="13:13" x14ac:dyDescent="0.2">
      <c r="M113" s="58"/>
    </row>
    <row r="114" spans="13:13" x14ac:dyDescent="0.2">
      <c r="M114" s="58"/>
    </row>
    <row r="115" spans="13:13" x14ac:dyDescent="0.2">
      <c r="M115" s="58"/>
    </row>
    <row r="116" spans="13:13" x14ac:dyDescent="0.2">
      <c r="M116" s="58"/>
    </row>
    <row r="117" spans="13:13" x14ac:dyDescent="0.2">
      <c r="M117" s="58"/>
    </row>
    <row r="118" spans="13:13" x14ac:dyDescent="0.2">
      <c r="M118" s="58"/>
    </row>
    <row r="119" spans="13:13" x14ac:dyDescent="0.2">
      <c r="M119" s="58"/>
    </row>
    <row r="120" spans="13:13" x14ac:dyDescent="0.2">
      <c r="M120" s="58"/>
    </row>
    <row r="121" spans="13:13" x14ac:dyDescent="0.2">
      <c r="M121" s="58"/>
    </row>
    <row r="122" spans="13:13" x14ac:dyDescent="0.2">
      <c r="M122" s="58"/>
    </row>
    <row r="123" spans="13:13" x14ac:dyDescent="0.2">
      <c r="M123" s="58"/>
    </row>
    <row r="124" spans="13:13" x14ac:dyDescent="0.2">
      <c r="M124" s="58"/>
    </row>
    <row r="125" spans="13:13" x14ac:dyDescent="0.2">
      <c r="M125" s="58"/>
    </row>
    <row r="126" spans="13:13" x14ac:dyDescent="0.2">
      <c r="M126" s="58"/>
    </row>
    <row r="127" spans="13:13" x14ac:dyDescent="0.2">
      <c r="M127" s="58"/>
    </row>
    <row r="128" spans="13:13" x14ac:dyDescent="0.2">
      <c r="M128" s="58"/>
    </row>
    <row r="129" spans="13:13" x14ac:dyDescent="0.2">
      <c r="M129" s="58"/>
    </row>
    <row r="130" spans="13:13" x14ac:dyDescent="0.2">
      <c r="M130" s="58"/>
    </row>
    <row r="131" spans="13:13" x14ac:dyDescent="0.2">
      <c r="M131" s="58"/>
    </row>
    <row r="132" spans="13:13" x14ac:dyDescent="0.2">
      <c r="M132" s="58"/>
    </row>
    <row r="133" spans="13:13" x14ac:dyDescent="0.2">
      <c r="M133" s="58"/>
    </row>
    <row r="134" spans="13:13" x14ac:dyDescent="0.2">
      <c r="M134" s="58"/>
    </row>
    <row r="135" spans="13:13" x14ac:dyDescent="0.2">
      <c r="M135" s="58"/>
    </row>
    <row r="136" spans="13:13" x14ac:dyDescent="0.2">
      <c r="M136" s="58"/>
    </row>
    <row r="137" spans="13:13" x14ac:dyDescent="0.2">
      <c r="M137" s="58"/>
    </row>
  </sheetData>
  <mergeCells count="14">
    <mergeCell ref="A9:K9"/>
    <mergeCell ref="A10:K10"/>
    <mergeCell ref="A11:K11"/>
    <mergeCell ref="A12:D12"/>
    <mergeCell ref="A88:D88"/>
    <mergeCell ref="A14:A16"/>
    <mergeCell ref="A87:D87"/>
    <mergeCell ref="E14:G15"/>
    <mergeCell ref="D14:D16"/>
    <mergeCell ref="K14:K16"/>
    <mergeCell ref="C14:C16"/>
    <mergeCell ref="B14:B16"/>
    <mergeCell ref="A89:D89"/>
    <mergeCell ref="H14:J15"/>
  </mergeCells>
  <pageMargins left="0.27559055118110237" right="0.19685039370078741" top="0.39370078740157483" bottom="0.27559055118110237" header="0.15748031496062992" footer="0.15748031496062992"/>
  <pageSetup paperSize="8" scale="70" fitToHeight="0" orientation="landscape" r:id="rId1"/>
  <headerFooter>
    <oddFooter>&amp;Cстр. &amp;P&amp;Rвсего стр. &amp;N</oddFooter>
  </headerFooter>
  <rowBreaks count="1" manualBreakCount="1">
    <brk id="30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</vt:lpstr>
      <vt:lpstr>КП!Область_печати</vt:lpstr>
    </vt:vector>
  </TitlesOfParts>
  <Company>ООО КВС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Махова Мария</dc:creator>
  <cp:lastModifiedBy>MSI</cp:lastModifiedBy>
  <cp:lastPrinted>2026-03-31T13:53:09Z</cp:lastPrinted>
  <dcterms:created xsi:type="dcterms:W3CDTF">2011-05-05T12:33:05Z</dcterms:created>
  <dcterms:modified xsi:type="dcterms:W3CDTF">2026-04-13T09:37:44Z</dcterms:modified>
</cp:coreProperties>
</file>