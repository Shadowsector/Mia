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7DF8FD82-76DF-411E-B778-0463089285A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ГРУНТ" sheetId="10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0" l="1"/>
  <c r="P21" i="10"/>
  <c r="P22" i="10"/>
  <c r="P23" i="10"/>
  <c r="P24" i="10"/>
  <c r="P25" i="10" s="1"/>
  <c r="G21" i="10"/>
  <c r="G22" i="10"/>
  <c r="G23" i="10"/>
  <c r="C55" i="10"/>
  <c r="I12" i="10"/>
  <c r="K12" i="10" s="1"/>
  <c r="D53" i="10"/>
  <c r="D52" i="10"/>
  <c r="M6" i="10"/>
  <c r="N6" i="10" s="1"/>
  <c r="N15" i="10" s="1"/>
  <c r="M55" i="10" s="1"/>
  <c r="M12" i="10"/>
  <c r="N12" i="10" s="1"/>
  <c r="M11" i="10"/>
  <c r="N11" i="10" s="1"/>
  <c r="G12" i="10"/>
  <c r="H34" i="10"/>
  <c r="H33" i="10"/>
  <c r="D34" i="10"/>
  <c r="D33" i="10"/>
  <c r="E34" i="10"/>
  <c r="E33" i="10"/>
  <c r="F34" i="10"/>
  <c r="F33" i="10"/>
  <c r="G34" i="10"/>
  <c r="G33" i="10"/>
  <c r="C36" i="10"/>
  <c r="H24" i="10"/>
  <c r="K24" i="10" s="1"/>
  <c r="I24" i="10"/>
  <c r="Q24" i="10"/>
  <c r="D54" i="10" l="1"/>
  <c r="C52" i="10" s="1"/>
  <c r="L24" i="10"/>
  <c r="M15" i="10"/>
  <c r="L12" i="10"/>
  <c r="P5" i="10"/>
  <c r="Q5" i="10" s="1"/>
  <c r="P6" i="10"/>
  <c r="P4" i="10"/>
  <c r="P12" i="10"/>
  <c r="P13" i="10"/>
  <c r="M5" i="10"/>
  <c r="E5" i="10"/>
  <c r="E4" i="10"/>
  <c r="R5" i="10" l="1"/>
  <c r="Q4" i="10"/>
  <c r="AE5" i="10"/>
  <c r="AD5" i="10"/>
  <c r="AA5" i="10"/>
  <c r="Z5" i="10"/>
  <c r="Y5" i="10"/>
  <c r="X5" i="10"/>
  <c r="AA4" i="10"/>
  <c r="Z4" i="10"/>
  <c r="Y4" i="10"/>
  <c r="Q25" i="10"/>
  <c r="X4" i="10"/>
  <c r="M4" i="10" l="1"/>
  <c r="R4" i="10" s="1"/>
  <c r="I5" i="10" l="1"/>
  <c r="H5" i="10"/>
  <c r="G5" i="10"/>
  <c r="AD4" i="10"/>
  <c r="AD6" i="10" s="1"/>
  <c r="K5" i="10" l="1"/>
  <c r="L5" i="10" l="1"/>
  <c r="O9" i="10"/>
  <c r="O7" i="10"/>
  <c r="H22" i="10"/>
  <c r="I22" i="10"/>
  <c r="Q22" i="10"/>
  <c r="H23" i="10"/>
  <c r="I23" i="10"/>
  <c r="Q23" i="10"/>
  <c r="M7" i="10"/>
  <c r="N7" i="10" s="1"/>
  <c r="M10" i="10"/>
  <c r="N10" i="10" s="1"/>
  <c r="M8" i="10"/>
  <c r="N8" i="10" s="1"/>
  <c r="M9" i="10"/>
  <c r="N9" i="10" s="1"/>
  <c r="H7" i="10"/>
  <c r="H8" i="10"/>
  <c r="H9" i="10"/>
  <c r="H10" i="10"/>
  <c r="H11" i="10"/>
  <c r="C48" i="10"/>
  <c r="C42" i="10"/>
  <c r="AN46" i="10"/>
  <c r="AN45" i="10"/>
  <c r="AM46" i="10"/>
  <c r="AM45" i="10"/>
  <c r="AL46" i="10"/>
  <c r="AL45" i="10"/>
  <c r="AK46" i="10"/>
  <c r="AK45" i="10"/>
  <c r="AJ46" i="10"/>
  <c r="AJ45" i="10"/>
  <c r="AI45" i="10"/>
  <c r="AI46" i="10"/>
  <c r="AH46" i="10"/>
  <c r="AH45" i="10"/>
  <c r="AG46" i="10"/>
  <c r="AG45" i="10"/>
  <c r="AF46" i="10"/>
  <c r="AF45" i="10"/>
  <c r="AE39" i="10"/>
  <c r="AE38" i="10"/>
  <c r="AD39" i="10"/>
  <c r="AD38" i="10"/>
  <c r="AD40" i="10" s="1"/>
  <c r="AC39" i="10"/>
  <c r="AC38" i="10"/>
  <c r="AB39" i="10"/>
  <c r="AB38" i="10"/>
  <c r="AA39" i="10"/>
  <c r="AA38" i="10"/>
  <c r="Z39" i="10"/>
  <c r="Z38" i="10"/>
  <c r="Y39" i="10"/>
  <c r="Y38" i="10"/>
  <c r="X39" i="10"/>
  <c r="X38" i="10"/>
  <c r="W39" i="10"/>
  <c r="W38" i="10"/>
  <c r="U35" i="10"/>
  <c r="V39" i="10"/>
  <c r="V38" i="10"/>
  <c r="M40" i="10"/>
  <c r="M39" i="10"/>
  <c r="U46" i="10"/>
  <c r="U45" i="10"/>
  <c r="T46" i="10"/>
  <c r="T45" i="10"/>
  <c r="S46" i="10"/>
  <c r="S45" i="10"/>
  <c r="R46" i="10"/>
  <c r="R45" i="10"/>
  <c r="Q46" i="10"/>
  <c r="Q45" i="10"/>
  <c r="P46" i="10"/>
  <c r="P45" i="10"/>
  <c r="O46" i="10"/>
  <c r="O45" i="10"/>
  <c r="O47" i="10" s="1"/>
  <c r="N45" i="10"/>
  <c r="N46" i="10"/>
  <c r="M46" i="10"/>
  <c r="M45" i="10"/>
  <c r="L46" i="10"/>
  <c r="L45" i="10"/>
  <c r="K46" i="10"/>
  <c r="K45" i="10"/>
  <c r="J46" i="10"/>
  <c r="J45" i="10"/>
  <c r="I46" i="10"/>
  <c r="I45" i="10"/>
  <c r="H46" i="10"/>
  <c r="H45" i="10"/>
  <c r="L40" i="10"/>
  <c r="L39" i="10"/>
  <c r="K40" i="10"/>
  <c r="K39" i="10"/>
  <c r="G46" i="10"/>
  <c r="G45" i="10"/>
  <c r="J40" i="10"/>
  <c r="J39" i="10"/>
  <c r="I40" i="10"/>
  <c r="I39" i="10"/>
  <c r="I41" i="10" s="1"/>
  <c r="H40" i="10"/>
  <c r="H39" i="10"/>
  <c r="F46" i="10"/>
  <c r="F45" i="10"/>
  <c r="G40" i="10"/>
  <c r="G39" i="10"/>
  <c r="F40" i="10"/>
  <c r="F39" i="10"/>
  <c r="E40" i="10"/>
  <c r="E39" i="10"/>
  <c r="T35" i="10"/>
  <c r="S35" i="10"/>
  <c r="Q35" i="10"/>
  <c r="P35" i="10"/>
  <c r="O35" i="10"/>
  <c r="E46" i="10"/>
  <c r="E45" i="10"/>
  <c r="D46" i="10"/>
  <c r="D45" i="10"/>
  <c r="D40" i="10"/>
  <c r="D39" i="10"/>
  <c r="W40" i="10" l="1"/>
  <c r="K22" i="10"/>
  <c r="L22" i="10" s="1"/>
  <c r="AH47" i="10"/>
  <c r="AN47" i="10"/>
  <c r="H47" i="10"/>
  <c r="T47" i="10"/>
  <c r="K23" i="10"/>
  <c r="L23" i="10" s="1"/>
  <c r="V40" i="10"/>
  <c r="AC40" i="10"/>
  <c r="Y40" i="10"/>
  <c r="F41" i="10"/>
  <c r="K41" i="10"/>
  <c r="U47" i="10"/>
  <c r="M41" i="10"/>
  <c r="X40" i="10"/>
  <c r="K47" i="10"/>
  <c r="Q47" i="10"/>
  <c r="AA40" i="10"/>
  <c r="AM47" i="10"/>
  <c r="N47" i="10"/>
  <c r="Z40" i="10"/>
  <c r="AF47" i="10"/>
  <c r="S47" i="10"/>
  <c r="AG47" i="10"/>
  <c r="H41" i="10"/>
  <c r="E41" i="10"/>
  <c r="J47" i="10"/>
  <c r="G41" i="10"/>
  <c r="L47" i="10"/>
  <c r="M47" i="10"/>
  <c r="R47" i="10"/>
  <c r="AE40" i="10"/>
  <c r="I47" i="10"/>
  <c r="AI47" i="10"/>
  <c r="D47" i="10"/>
  <c r="AJ47" i="10"/>
  <c r="O15" i="10"/>
  <c r="AL47" i="10"/>
  <c r="AK47" i="10"/>
  <c r="AB40" i="10"/>
  <c r="P47" i="10"/>
  <c r="L41" i="10"/>
  <c r="G47" i="10"/>
  <c r="J41" i="10"/>
  <c r="F47" i="10"/>
  <c r="R35" i="10"/>
  <c r="N35" i="10"/>
  <c r="M35" i="10"/>
  <c r="L35" i="10"/>
  <c r="K35" i="10"/>
  <c r="E47" i="10"/>
  <c r="D41" i="10"/>
  <c r="C39" i="10" l="1"/>
  <c r="F8" i="10" s="1"/>
  <c r="P8" i="10" s="1"/>
  <c r="C45" i="10"/>
  <c r="F10" i="10" s="1"/>
  <c r="P10" i="10" s="1"/>
  <c r="AC5" i="10"/>
  <c r="F7" i="10" l="1"/>
  <c r="P7" i="10" s="1"/>
  <c r="F11" i="10"/>
  <c r="F9" i="10"/>
  <c r="P9" i="10" s="1"/>
  <c r="G8" i="10"/>
  <c r="I8" i="10"/>
  <c r="K8" i="10" s="1"/>
  <c r="I7" i="10"/>
  <c r="K7" i="10" s="1"/>
  <c r="G7" i="10"/>
  <c r="L7" i="10" s="1"/>
  <c r="I10" i="10"/>
  <c r="K10" i="10" s="1"/>
  <c r="G10" i="10"/>
  <c r="I9" i="10"/>
  <c r="K9" i="10" s="1"/>
  <c r="H35" i="10"/>
  <c r="E35" i="10"/>
  <c r="D35" i="10"/>
  <c r="G9" i="10" l="1"/>
  <c r="G11" i="10"/>
  <c r="P11" i="10"/>
  <c r="I11" i="10"/>
  <c r="K11" i="10" s="1"/>
  <c r="L11" i="10" s="1"/>
  <c r="L8" i="10"/>
  <c r="L10" i="10"/>
  <c r="L9" i="10"/>
  <c r="J35" i="10"/>
  <c r="I35" i="10"/>
  <c r="G4" i="10" s="1"/>
  <c r="G35" i="10"/>
  <c r="F35" i="10"/>
  <c r="C33" i="10" s="1"/>
  <c r="AB4" i="10" l="1"/>
  <c r="I6" i="10"/>
  <c r="G6" i="10" l="1"/>
  <c r="H6" i="10" l="1"/>
  <c r="K6" i="10" s="1"/>
  <c r="L6" i="10" l="1"/>
  <c r="L15" i="10" s="1"/>
  <c r="L25" i="10" s="1"/>
  <c r="M56" i="10" s="1"/>
  <c r="I21" i="10" l="1"/>
  <c r="Q21" i="10"/>
  <c r="H21" i="10" l="1"/>
  <c r="C15" i="10"/>
  <c r="K21" i="10" l="1"/>
  <c r="L21" i="10" s="1"/>
  <c r="I4" i="10"/>
  <c r="H4" i="10"/>
  <c r="G15" i="10" l="1"/>
  <c r="G25" i="10" s="1"/>
  <c r="K4" i="10"/>
  <c r="L4" i="10" s="1"/>
  <c r="G26" i="10" l="1"/>
  <c r="G28" i="10"/>
  <c r="G16" i="10"/>
  <c r="K15" i="10"/>
  <c r="AC4" i="10"/>
  <c r="AC6" i="10" s="1"/>
  <c r="AB5" i="10" l="1"/>
  <c r="AB6" i="10" s="1"/>
  <c r="M53" i="10"/>
  <c r="M52" i="10" s="1"/>
  <c r="K25" i="10"/>
  <c r="M54" i="10" s="1"/>
  <c r="AE4" i="10"/>
  <c r="AE6" i="10" s="1"/>
  <c r="G29" i="10"/>
</calcChain>
</file>

<file path=xl/sharedStrings.xml><?xml version="1.0" encoding="utf-8"?>
<sst xmlns="http://schemas.openxmlformats.org/spreadsheetml/2006/main" count="147" uniqueCount="118">
  <si>
    <t>м3</t>
  </si>
  <si>
    <t>№ п/п</t>
  </si>
  <si>
    <t>Разработка грунта</t>
  </si>
  <si>
    <t>Песчаная подсыпка</t>
  </si>
  <si>
    <t>Обратная засыпка грунтом</t>
  </si>
  <si>
    <t>Сечение</t>
  </si>
  <si>
    <t>Длина участка, м</t>
  </si>
  <si>
    <t>Шир. по низу, м</t>
  </si>
  <si>
    <t>Шир. по верху, м</t>
  </si>
  <si>
    <t>Глубина, м</t>
  </si>
  <si>
    <t>V, м3</t>
  </si>
  <si>
    <t>ИТОГО:</t>
  </si>
  <si>
    <t>КОЛОДЦЫ:</t>
  </si>
  <si>
    <t>Шир. по низу, м_</t>
  </si>
  <si>
    <t>Шир. по верху, м_</t>
  </si>
  <si>
    <t>Глубина, м_</t>
  </si>
  <si>
    <t>V, м3_</t>
  </si>
  <si>
    <t>V, м3__</t>
  </si>
  <si>
    <t>Кол-во колодцев</t>
  </si>
  <si>
    <t>Щебень</t>
  </si>
  <si>
    <t>Объем колодца</t>
  </si>
  <si>
    <t>ТРАНШЕИ:</t>
  </si>
  <si>
    <t>ККСр-3,5-10(80)</t>
  </si>
  <si>
    <t>hср траншеи, м</t>
  </si>
  <si>
    <t>Столбец3</t>
  </si>
  <si>
    <t>Объем замещения</t>
  </si>
  <si>
    <t>V, м3____</t>
  </si>
  <si>
    <t>V, м3___</t>
  </si>
  <si>
    <t>Объем обсыпки песком</t>
  </si>
  <si>
    <t>ВСЕГО (траншеи+колодцы)</t>
  </si>
  <si>
    <t>Средняя арифмет глубина траншеи</t>
  </si>
  <si>
    <t>2 тр. 50 мм</t>
  </si>
  <si>
    <t>2 тр. 50 в футляре 160</t>
  </si>
  <si>
    <t>2 тр. 50 в футляре 159</t>
  </si>
  <si>
    <t>нк17-нк18</t>
  </si>
  <si>
    <t>нк18-опора 8</t>
  </si>
  <si>
    <t>нк18-оп9</t>
  </si>
  <si>
    <t>Нк1-нк22</t>
  </si>
  <si>
    <t>нк22-нк21</t>
  </si>
  <si>
    <t>нк21-нк20</t>
  </si>
  <si>
    <t>нк20-оп.7</t>
  </si>
  <si>
    <t>нк22-нк22а</t>
  </si>
  <si>
    <t>нк22а-нк22б</t>
  </si>
  <si>
    <t>нк22б-нк22г</t>
  </si>
  <si>
    <t>нк22г-оп.35</t>
  </si>
  <si>
    <t>нк3-нк3а</t>
  </si>
  <si>
    <t>нк3а-нк3б</t>
  </si>
  <si>
    <t>нк3б-оп.15</t>
  </si>
  <si>
    <t>оп.32-нк3а</t>
  </si>
  <si>
    <t>нк3а-оп.27</t>
  </si>
  <si>
    <t>оп.34-нк3б</t>
  </si>
  <si>
    <t>нк3б-оп.33</t>
  </si>
  <si>
    <t>нк3а-оп.31</t>
  </si>
  <si>
    <t>нк22-оп.4</t>
  </si>
  <si>
    <t>оп.36-нк22б</t>
  </si>
  <si>
    <t>нк22б-оп.37</t>
  </si>
  <si>
    <t>нк20-оп.6</t>
  </si>
  <si>
    <t>шл.1-нк21</t>
  </si>
  <si>
    <t>нк21-оп.5</t>
  </si>
  <si>
    <t>оп.1-нк1</t>
  </si>
  <si>
    <t>нк1-оп.2</t>
  </si>
  <si>
    <t>нк1-БПР</t>
  </si>
  <si>
    <t>нк12-оп.19</t>
  </si>
  <si>
    <t>нк13-оп.17</t>
  </si>
  <si>
    <t>нк14-оп.20</t>
  </si>
  <si>
    <t>оп.12-нк15</t>
  </si>
  <si>
    <t>нк15-оп.13</t>
  </si>
  <si>
    <t>нк15-оп.14</t>
  </si>
  <si>
    <t>нк16-оп.11</t>
  </si>
  <si>
    <t>нк17-оп.10</t>
  </si>
  <si>
    <t>оп.16-д.56а к2</t>
  </si>
  <si>
    <t>4 тр. 63 мм</t>
  </si>
  <si>
    <t>ККСр-3-10</t>
  </si>
  <si>
    <t>ККСр-1-10</t>
  </si>
  <si>
    <t>объем замещения</t>
  </si>
  <si>
    <t>трубопровод</t>
  </si>
  <si>
    <t>м.п</t>
  </si>
  <si>
    <t xml:space="preserve"> длина участка</t>
  </si>
  <si>
    <t>4 тр. 63 мм в футляре 180 мм</t>
  </si>
  <si>
    <t>глубина</t>
  </si>
  <si>
    <t>сечение</t>
  </si>
  <si>
    <t>всего</t>
  </si>
  <si>
    <t>V выемки, м3</t>
  </si>
  <si>
    <t>V песчаного основания, м3</t>
  </si>
  <si>
    <t>длина, м</t>
  </si>
  <si>
    <t>V замещения, м3</t>
  </si>
  <si>
    <t>V оз песком, м3</t>
  </si>
  <si>
    <t>ширина траншеи низ</t>
  </si>
  <si>
    <t>ширна траншеи верх</t>
  </si>
  <si>
    <t xml:space="preserve">Разработка грунта </t>
  </si>
  <si>
    <t>Засыпка котлованов и траншей песчаным грунтом бульдозером с уплотнением</t>
  </si>
  <si>
    <t xml:space="preserve">Засыпка котлованов и траншей вручную с уплотнением </t>
  </si>
  <si>
    <t>Наименование работ</t>
  </si>
  <si>
    <t>ед.изм.</t>
  </si>
  <si>
    <t>кол-во</t>
  </si>
  <si>
    <t>примечание</t>
  </si>
  <si>
    <t>к АОСР №1</t>
  </si>
  <si>
    <t>НК2-НК1</t>
  </si>
  <si>
    <t xml:space="preserve">2 тр. 110 мм </t>
  </si>
  <si>
    <t>ККСр-2М-10(80)ГЕК</t>
  </si>
  <si>
    <t>бетонная плита</t>
  </si>
  <si>
    <t>Глубина, м2</t>
  </si>
  <si>
    <t>Объем оз песком</t>
  </si>
  <si>
    <t>ввод-НК3</t>
  </si>
  <si>
    <t>ККСр-1-М</t>
  </si>
  <si>
    <t>НК2-НК3</t>
  </si>
  <si>
    <t>НК1-ввод4</t>
  </si>
  <si>
    <t>НК2-ввод5</t>
  </si>
  <si>
    <t>3 тр 50 мм</t>
  </si>
  <si>
    <t>высота обратной засыпки грунтом</t>
  </si>
  <si>
    <t>лист 2</t>
  </si>
  <si>
    <t xml:space="preserve">4 тр. 110 мм </t>
  </si>
  <si>
    <t>в ручную</t>
  </si>
  <si>
    <t>разработка грунта механизированная</t>
  </si>
  <si>
    <t>песчаное основание</t>
  </si>
  <si>
    <t>обратная засыпка песком</t>
  </si>
  <si>
    <t>обратная засыпка грунтом</t>
  </si>
  <si>
    <t>Всего по Интервалам Волх-12 - коллектор  и стр-во 3х-трубной КК с 3мя колодцами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</si>
</sst>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_-* #,##0.000\ _₽_-;\-* #,##0.000\ _₽_-;_-* &quot;-&quot;??\ _₽_-;_-@_-"/>
    <numFmt numFmtId="166" formatCode="0.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2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4" fillId="0" borderId="0"/>
    <xf numFmtId="164" fontId="5" fillId="0" borderId="0" applyFont="0" applyFill="0" applyBorder="0" applyAlignment="0" applyProtection="0"/>
    <xf numFmtId="0" fontId="6" fillId="0" borderId="0"/>
    <xf numFmtId="164" fontId="2" fillId="0" borderId="0" applyFont="0" applyFill="0" applyBorder="0" applyAlignment="0" applyProtection="0"/>
  </cellStyleXfs>
  <cellXfs count="12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10" fillId="0" borderId="2" xfId="0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164" fontId="13" fillId="0" borderId="0" xfId="3" applyFont="1" applyAlignment="1">
      <alignment horizontal="center" vertical="center"/>
    </xf>
    <xf numFmtId="165" fontId="12" fillId="0" borderId="0" xfId="3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49" fontId="12" fillId="0" borderId="0" xfId="0" applyNumberFormat="1" applyFont="1"/>
    <xf numFmtId="0" fontId="10" fillId="0" borderId="1" xfId="0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49" fontId="15" fillId="0" borderId="0" xfId="0" applyNumberFormat="1" applyFont="1"/>
    <xf numFmtId="0" fontId="15" fillId="0" borderId="0" xfId="0" applyFont="1" applyAlignment="1">
      <alignment horizontal="center" vertical="center"/>
    </xf>
    <xf numFmtId="164" fontId="16" fillId="0" borderId="0" xfId="3" applyFont="1" applyAlignment="1">
      <alignment horizontal="center" vertical="center"/>
    </xf>
    <xf numFmtId="165" fontId="15" fillId="0" borderId="0" xfId="3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5" fillId="0" borderId="0" xfId="0" applyFont="1"/>
    <xf numFmtId="0" fontId="17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8" fillId="0" borderId="1" xfId="0" applyFont="1" applyBorder="1"/>
    <xf numFmtId="164" fontId="18" fillId="0" borderId="1" xfId="0" applyNumberFormat="1" applyFont="1" applyBorder="1"/>
    <xf numFmtId="0" fontId="19" fillId="0" borderId="0" xfId="0" applyFont="1"/>
    <xf numFmtId="2" fontId="20" fillId="0" borderId="0" xfId="0" applyNumberFormat="1" applyFont="1"/>
    <xf numFmtId="0" fontId="10" fillId="0" borderId="1" xfId="0" applyFont="1" applyBorder="1" applyAlignment="1">
      <alignment horizontal="center" vertical="center" wrapText="1"/>
    </xf>
    <xf numFmtId="164" fontId="0" fillId="0" borderId="0" xfId="0" applyNumberFormat="1"/>
    <xf numFmtId="0" fontId="20" fillId="0" borderId="0" xfId="0" applyFont="1"/>
    <xf numFmtId="0" fontId="20" fillId="0" borderId="0" xfId="0" applyFont="1" applyAlignment="1">
      <alignment horizontal="center" vertical="center"/>
    </xf>
    <xf numFmtId="164" fontId="21" fillId="0" borderId="0" xfId="3" applyFont="1" applyAlignment="1">
      <alignment horizontal="center" vertical="center"/>
    </xf>
    <xf numFmtId="165" fontId="20" fillId="0" borderId="0" xfId="3" applyNumberFormat="1" applyFont="1" applyAlignment="1">
      <alignment horizontal="center" vertical="center"/>
    </xf>
    <xf numFmtId="0" fontId="0" fillId="0" borderId="0" xfId="0" applyBorder="1"/>
    <xf numFmtId="0" fontId="8" fillId="5" borderId="1" xfId="0" applyFont="1" applyFill="1" applyBorder="1"/>
    <xf numFmtId="2" fontId="8" fillId="5" borderId="1" xfId="0" applyNumberFormat="1" applyFont="1" applyFill="1" applyBorder="1"/>
    <xf numFmtId="2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wrapText="1"/>
    </xf>
    <xf numFmtId="2" fontId="7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8" fillId="6" borderId="1" xfId="0" applyFont="1" applyFill="1" applyBorder="1"/>
    <xf numFmtId="2" fontId="8" fillId="6" borderId="1" xfId="0" applyNumberFormat="1" applyFont="1" applyFill="1" applyBorder="1"/>
    <xf numFmtId="2" fontId="8" fillId="6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wrapText="1"/>
    </xf>
    <xf numFmtId="2" fontId="7" fillId="6" borderId="1" xfId="0" applyNumberFormat="1" applyFont="1" applyFill="1" applyBorder="1" applyAlignment="1">
      <alignment horizontal="center"/>
    </xf>
    <xf numFmtId="0" fontId="0" fillId="6" borderId="1" xfId="0" applyFill="1" applyBorder="1"/>
    <xf numFmtId="0" fontId="8" fillId="2" borderId="1" xfId="0" applyFont="1" applyFill="1" applyBorder="1"/>
    <xf numFmtId="2" fontId="8" fillId="2" borderId="1" xfId="0" applyNumberFormat="1" applyFont="1" applyFill="1" applyBorder="1"/>
    <xf numFmtId="2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wrapText="1"/>
    </xf>
    <xf numFmtId="2" fontId="7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2" fontId="9" fillId="5" borderId="1" xfId="0" applyNumberFormat="1" applyFont="1" applyFill="1" applyBorder="1"/>
    <xf numFmtId="0" fontId="0" fillId="3" borderId="0" xfId="0" applyFill="1"/>
    <xf numFmtId="2" fontId="8" fillId="3" borderId="0" xfId="0" applyNumberFormat="1" applyFont="1" applyFill="1" applyBorder="1" applyAlignment="1">
      <alignment horizontal="center"/>
    </xf>
    <xf numFmtId="2" fontId="8" fillId="5" borderId="3" xfId="0" applyNumberFormat="1" applyFont="1" applyFill="1" applyBorder="1"/>
    <xf numFmtId="2" fontId="8" fillId="5" borderId="3" xfId="0" applyNumberFormat="1" applyFont="1" applyFill="1" applyBorder="1" applyAlignment="1">
      <alignment horizontal="center"/>
    </xf>
    <xf numFmtId="2" fontId="9" fillId="5" borderId="1" xfId="0" applyNumberFormat="1" applyFont="1" applyFill="1" applyBorder="1" applyAlignment="1">
      <alignment horizontal="center"/>
    </xf>
    <xf numFmtId="0" fontId="0" fillId="3" borderId="0" xfId="0" applyFill="1" applyBorder="1"/>
    <xf numFmtId="2" fontId="10" fillId="5" borderId="1" xfId="0" applyNumberFormat="1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2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12" fillId="8" borderId="1" xfId="0" applyNumberFormat="1" applyFont="1" applyFill="1" applyBorder="1" applyAlignment="1">
      <alignment horizontal="center" vertical="center"/>
    </xf>
    <xf numFmtId="2" fontId="20" fillId="7" borderId="1" xfId="0" applyNumberFormat="1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20" fillId="8" borderId="1" xfId="0" applyNumberFormat="1" applyFont="1" applyFill="1" applyBorder="1" applyAlignment="1">
      <alignment horizontal="center" vertical="center"/>
    </xf>
    <xf numFmtId="2" fontId="12" fillId="7" borderId="1" xfId="0" applyNumberFormat="1" applyFont="1" applyFill="1" applyBorder="1" applyAlignment="1">
      <alignment horizontal="center" vertical="center"/>
    </xf>
    <xf numFmtId="2" fontId="20" fillId="6" borderId="1" xfId="3" applyNumberFormat="1" applyFont="1" applyFill="1" applyBorder="1" applyAlignment="1">
      <alignment horizontal="center" vertical="center"/>
    </xf>
    <xf numFmtId="2" fontId="20" fillId="8" borderId="1" xfId="3" applyNumberFormat="1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166" fontId="12" fillId="7" borderId="1" xfId="0" applyNumberFormat="1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2" fillId="9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18" fillId="0" borderId="1" xfId="0" applyNumberFormat="1" applyFont="1" applyBorder="1"/>
    <xf numFmtId="0" fontId="20" fillId="0" borderId="6" xfId="0" applyFont="1" applyBorder="1" applyAlignment="1">
      <alignment vertical="center"/>
    </xf>
    <xf numFmtId="49" fontId="12" fillId="7" borderId="5" xfId="0" applyNumberFormat="1" applyFont="1" applyFill="1" applyBorder="1" applyAlignment="1">
      <alignment vertical="center"/>
    </xf>
    <xf numFmtId="164" fontId="21" fillId="0" borderId="0" xfId="3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0" fillId="0" borderId="0" xfId="0" applyNumberFormat="1" applyFont="1"/>
    <xf numFmtId="2" fontId="8" fillId="10" borderId="1" xfId="0" applyNumberFormat="1" applyFont="1" applyFill="1" applyBorder="1" applyAlignment="1">
      <alignment horizontal="center"/>
    </xf>
    <xf numFmtId="2" fontId="8" fillId="11" borderId="1" xfId="0" applyNumberFormat="1" applyFont="1" applyFill="1" applyBorder="1" applyAlignment="1">
      <alignment horizontal="center"/>
    </xf>
    <xf numFmtId="2" fontId="8" fillId="13" borderId="1" xfId="0" applyNumberFormat="1" applyFont="1" applyFill="1" applyBorder="1" applyAlignment="1">
      <alignment horizontal="center"/>
    </xf>
    <xf numFmtId="1" fontId="0" fillId="5" borderId="0" xfId="0" applyNumberFormat="1" applyFill="1" applyAlignment="1">
      <alignment horizontal="center" vertical="center"/>
    </xf>
    <xf numFmtId="0" fontId="24" fillId="5" borderId="0" xfId="0" applyFont="1" applyFill="1"/>
    <xf numFmtId="0" fontId="24" fillId="5" borderId="0" xfId="0" applyFont="1" applyFill="1" applyAlignment="1">
      <alignment horizontal="center" vertical="center"/>
    </xf>
    <xf numFmtId="164" fontId="25" fillId="5" borderId="0" xfId="3" applyFont="1" applyFill="1" applyAlignment="1">
      <alignment horizontal="center" vertical="center"/>
    </xf>
    <xf numFmtId="0" fontId="24" fillId="5" borderId="0" xfId="0" applyNumberFormat="1" applyFont="1" applyFill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164" fontId="21" fillId="5" borderId="0" xfId="3" applyNumberFormat="1" applyFont="1" applyFill="1" applyAlignment="1">
      <alignment horizontal="center" vertical="center"/>
    </xf>
    <xf numFmtId="0" fontId="0" fillId="12" borderId="1" xfId="0" applyFill="1" applyBorder="1" applyAlignment="1">
      <alignment wrapText="1"/>
    </xf>
    <xf numFmtId="2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/>
    <xf numFmtId="164" fontId="0" fillId="12" borderId="1" xfId="0" applyNumberForma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6">
    <cellStyle name="Обычный" xfId="0" builtinId="0"/>
    <cellStyle name="Обычный 2" xfId="1" xr:uid="{00000000-0005-0000-0000-000001000000}"/>
    <cellStyle name="Обычный 3" xfId="4" xr:uid="{00000000-0005-0000-0000-000002000000}"/>
    <cellStyle name="Обычный 4" xfId="2" xr:uid="{00000000-0005-0000-0000-000003000000}"/>
    <cellStyle name="Финансовый" xfId="3" builtinId="3"/>
    <cellStyle name="Финансовый 2" xfId="5" xr:uid="{00000000-0005-0000-0000-000005000000}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* #,##0.00\ _₽_-;\-* #,##0.00\ _₽_-;_-* &quot;-&quot;??\ _₽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* #,##0.00\ _₽_-;\-* #,##0.00\ _₽_-;_-* &quot;-&quot;??\ _₽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* #,##0.00\ _₽_-;\-* #,##0.00\ _₽_-;_-* &quot;-&quot;??\ _₽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* #,##0.00\ _₽_-;\-* #,##0.00\ _₽_-;_-* &quot;-&quot;??\ _₽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_-* #,##0.000\ _₽_-;\-* #,##0.000\ _₽_-;_-* &quot;-&quot;??\ _₽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_-* #,##0.000\ _₽_-;\-* #,##0.000\ _₽_-;_-* &quot;-&quot;??\ _₽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* #,##0.00\ _₽_-;\-* #,##0.00\ _₽_-;_-* &quot;-&quot;??\ _₽_-;_-@_-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* #,##0.00\ _₽_-;\-* #,##0.00\ _₽_-;_-* &quot;-&quot;??\ _₽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_-* #,##0.00\ _₽_-;\-* #,##0.00\ _₽_-;_-* &quot;-&quot;??\ _₽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65" formatCode="_-* #,##0.000\ _₽_-;\-* #,##0.000\ _₽_-;_-* &quot;-&quot;??\ _₽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Таблица1" displayName="Таблица1" ref="A3:P13" totalsRowShown="0" headerRowDxfId="58" dataDxfId="56" headerRowBorderDxfId="57" tableBorderDxfId="55">
  <autoFilter ref="A3:P13" xr:uid="{00000000-0009-0000-0100-000003000000}"/>
  <tableColumns count="16">
    <tableColumn id="1" xr3:uid="{00000000-0010-0000-0000-000001000000}" name="№ п/п" dataDxfId="54"/>
    <tableColumn id="2" xr3:uid="{00000000-0010-0000-0000-000002000000}" name="Сечение" dataDxfId="53"/>
    <tableColumn id="3" xr3:uid="{00000000-0010-0000-0000-000003000000}" name="Длина участка, м" dataDxfId="52">
      <calculatedColumnFormula>C36</calculatedColumnFormula>
    </tableColumn>
    <tableColumn id="4" xr3:uid="{00000000-0010-0000-0000-000004000000}" name="Шир. по низу, м" dataDxfId="51"/>
    <tableColumn id="5" xr3:uid="{00000000-0010-0000-0000-000005000000}" name="Шир. по верху, м" dataDxfId="50"/>
    <tableColumn id="6" xr3:uid="{00000000-0010-0000-0000-000006000000}" name="Глубина, м" dataDxfId="49">
      <calculatedColumnFormula>0.6+0.531</calculatedColumnFormula>
    </tableColumn>
    <tableColumn id="7" xr3:uid="{00000000-0010-0000-0000-000007000000}" name="V, м3" dataDxfId="48" dataCellStyle="Финансовый">
      <calculatedColumnFormula>(D4+E4)/2*F4*C4</calculatedColumnFormula>
    </tableColumn>
    <tableColumn id="8" xr3:uid="{00000000-0010-0000-0000-000008000000}" name="Шир. по низу, м_" dataDxfId="47">
      <calculatedColumnFormula>Таблица1[[#This Row],[Шир. по низу, м]]</calculatedColumnFormula>
    </tableColumn>
    <tableColumn id="9" xr3:uid="{00000000-0010-0000-0000-000009000000}" name="Шир. по верху, м_" dataDxfId="46" dataCellStyle="Финансовый">
      <calculatedColumnFormula>J4*(E4-D4)/F4+D4</calculatedColumnFormula>
    </tableColumn>
    <tableColumn id="10" xr3:uid="{00000000-0010-0000-0000-00000A000000}" name="Глубина, м_" dataDxfId="45"/>
    <tableColumn id="11" xr3:uid="{00000000-0010-0000-0000-00000B000000}" name="V, м3_" dataDxfId="44" dataCellStyle="Финансовый">
      <calculatedColumnFormula>(H4+I4)/2*J4*C4</calculatedColumnFormula>
    </tableColumn>
    <tableColumn id="12" xr3:uid="{00000000-0010-0000-0000-00000C000000}" name="V, м3__" dataDxfId="43">
      <calculatedColumnFormula>G4-K4</calculatedColumnFormula>
    </tableColumn>
    <tableColumn id="13" xr3:uid="{00000000-0010-0000-0000-00000D000000}" name="V, м3___" dataDxfId="42"/>
    <tableColumn id="14" xr3:uid="{00000000-0010-0000-0000-00000E000000}" name="V, м3____" dataDxfId="41"/>
    <tableColumn id="15" xr3:uid="{00000000-0010-0000-0000-00000F000000}" name="м.п" dataDxfId="40">
      <calculatedColumnFormula>4*Таблица1[[#This Row],[Длина участка, м]]+4*C6</calculatedColumnFormula>
    </tableColumn>
    <tableColumn id="16" xr3:uid="{00000000-0010-0000-0000-000010000000}" name="Глубина, м2" dataDxfId="39">
      <calculatedColumnFormula>Таблица1[[#This Row],[Глубина, м]]-Таблица1[[#This Row],[Глубина, м_]]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Таблица2" displayName="Таблица2" ref="A20:R26" totalsRowCount="1" headerRowDxfId="38" headerRowBorderDxfId="37" tableBorderDxfId="36">
  <autoFilter ref="A20:R25" xr:uid="{00000000-0009-0000-0100-000004000000}"/>
  <tableColumns count="18">
    <tableColumn id="1" xr3:uid="{00000000-0010-0000-0100-000001000000}" name="№ п/п" dataDxfId="35" totalsRowDxfId="34"/>
    <tableColumn id="2" xr3:uid="{00000000-0010-0000-0100-000002000000}" name="Сечение" dataDxfId="33" totalsRowDxfId="32"/>
    <tableColumn id="3" xr3:uid="{00000000-0010-0000-0100-000003000000}" name="Длина участка, м" dataDxfId="31" totalsRowDxfId="30"/>
    <tableColumn id="4" xr3:uid="{00000000-0010-0000-0100-000004000000}" name="Шир. по низу, м" dataDxfId="29" totalsRowDxfId="28"/>
    <tableColumn id="5" xr3:uid="{00000000-0010-0000-0100-000005000000}" name="Шир. по верху, м" dataDxfId="27" totalsRowDxfId="26"/>
    <tableColumn id="6" xr3:uid="{00000000-0010-0000-0100-000006000000}" name="Глубина, м" totalsRowLabel="в ручную" dataDxfId="25" totalsRowDxfId="24"/>
    <tableColumn id="7" xr3:uid="{00000000-0010-0000-0100-000007000000}" name="V, м3" totalsRowFunction="custom" dataDxfId="23" totalsRowDxfId="22" dataCellStyle="Финансовый">
      <calculatedColumnFormula>(D21+E21)/2*F21*C21*Таблица2[[#This Row],[Кол-во колодцев]]</calculatedColumnFormula>
      <totalsRowFormula>G25*0.05</totalsRowFormula>
    </tableColumn>
    <tableColumn id="8" xr3:uid="{00000000-0010-0000-0100-000008000000}" name="Шир. по низу, м_" dataDxfId="21" totalsRowDxfId="20">
      <calculatedColumnFormula>Таблица2[[#This Row],[Шир. по низу, м]]</calculatedColumnFormula>
    </tableColumn>
    <tableColumn id="9" xr3:uid="{00000000-0010-0000-0100-000009000000}" name="Шир. по верху, м_" dataDxfId="19" totalsRowDxfId="18" dataCellStyle="Финансовый">
      <calculatedColumnFormula>J21*(E21-D21)/F21+D21</calculatedColumnFormula>
    </tableColumn>
    <tableColumn id="10" xr3:uid="{00000000-0010-0000-0100-00000A000000}" name="Глубина, м_" dataDxfId="17" totalsRowDxfId="16"/>
    <tableColumn id="11" xr3:uid="{00000000-0010-0000-0100-00000B000000}" name="V, м3_" dataDxfId="15" totalsRowDxfId="14" dataCellStyle="Финансовый">
      <calculatedColumnFormula>(H21+I21)/2*J21*C21*Таблица2[[#This Row],[Кол-во колодцев]]</calculatedColumnFormula>
    </tableColumn>
    <tableColumn id="12" xr3:uid="{00000000-0010-0000-0100-00000C000000}" name="V, м3__" dataDxfId="13" totalsRowDxfId="12">
      <calculatedColumnFormula>G21-K21-Таблица2[[#This Row],[Кол-во колодцев]]*Таблица2[[#This Row],[Объем колодца]]</calculatedColumnFormula>
    </tableColumn>
    <tableColumn id="13" xr3:uid="{00000000-0010-0000-0100-00000D000000}" name="Кол-во колодцев" dataDxfId="11" totalsRowDxfId="10"/>
    <tableColumn id="18" xr3:uid="{00000000-0010-0000-0100-000012000000}" name="Столбец3" dataDxfId="9" totalsRowDxfId="8"/>
    <tableColumn id="17" xr3:uid="{00000000-0010-0000-0100-000011000000}" name="бетонная плита" dataDxfId="7" totalsRowDxfId="6"/>
    <tableColumn id="16" xr3:uid="{00000000-0010-0000-0100-000010000000}" name="объем замещения" dataDxfId="5" totalsRowDxfId="4">
      <calculatedColumnFormula>Таблица2[[#This Row],[Кол-во колодцев]]*Таблица2[[#This Row],[Объем колодца]]</calculatedColumnFormula>
    </tableColumn>
    <tableColumn id="14" xr3:uid="{00000000-0010-0000-0100-00000E000000}" name="Щебень" dataDxfId="3" totalsRowDxfId="2">
      <calculatedColumnFormula>Таблица2[[#This Row],[Шир. по низу, м]]*Таблица2[[#This Row],[Длина участка, м]]*0*Таблица2[[#This Row],[Кол-во колодцев]]</calculatedColumnFormula>
    </tableColumn>
    <tableColumn id="15" xr3:uid="{00000000-0010-0000-0100-00000F000000}" name="Объем колодца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9"/>
  <sheetViews>
    <sheetView tabSelected="1" zoomScale="85" zoomScaleNormal="85" workbookViewId="0">
      <selection activeCell="L63" sqref="L63"/>
    </sheetView>
  </sheetViews>
  <sheetFormatPr defaultRowHeight="15" x14ac:dyDescent="0.25"/>
  <cols>
    <col min="2" max="2" width="29.85546875" bestFit="1" customWidth="1"/>
    <col min="3" max="3" width="18.7109375" customWidth="1"/>
    <col min="4" max="4" width="17.7109375" customWidth="1"/>
    <col min="5" max="5" width="18.85546875" customWidth="1"/>
    <col min="6" max="6" width="13.140625" customWidth="1"/>
    <col min="7" max="7" width="15.140625" customWidth="1"/>
    <col min="8" max="8" width="18.7109375" customWidth="1"/>
    <col min="9" max="9" width="19.85546875" customWidth="1"/>
    <col min="10" max="10" width="16.7109375" customWidth="1"/>
    <col min="11" max="11" width="17.28515625" bestFit="1" customWidth="1"/>
    <col min="12" max="12" width="25.85546875" bestFit="1" customWidth="1"/>
    <col min="13" max="13" width="22" customWidth="1"/>
    <col min="14" max="14" width="19" customWidth="1"/>
    <col min="15" max="16" width="17" customWidth="1"/>
    <col min="17" max="17" width="15.140625" bestFit="1" customWidth="1"/>
    <col min="18" max="18" width="17.42578125" customWidth="1"/>
    <col min="19" max="19" width="10.28515625" bestFit="1" customWidth="1"/>
    <col min="21" max="21" width="9.28515625" customWidth="1"/>
    <col min="22" max="22" width="8.7109375" customWidth="1"/>
    <col min="23" max="23" width="17.5703125" customWidth="1"/>
    <col min="24" max="24" width="10.5703125" customWidth="1"/>
    <col min="25" max="25" width="9.5703125" customWidth="1"/>
    <col min="26" max="26" width="10.7109375" customWidth="1"/>
    <col min="27" max="27" width="9.5703125" customWidth="1"/>
    <col min="28" max="28" width="10.140625" customWidth="1"/>
    <col min="29" max="29" width="13" style="4" customWidth="1"/>
    <col min="30" max="30" width="12.7109375" customWidth="1"/>
    <col min="31" max="31" width="11.85546875" customWidth="1"/>
    <col min="32" max="32" width="11.5703125" bestFit="1" customWidth="1"/>
    <col min="33" max="33" width="51" customWidth="1"/>
    <col min="34" max="35" width="11.42578125" bestFit="1" customWidth="1"/>
    <col min="36" max="36" width="15" customWidth="1"/>
    <col min="37" max="38" width="11.42578125" bestFit="1" customWidth="1"/>
    <col min="40" max="40" width="15" bestFit="1" customWidth="1"/>
  </cols>
  <sheetData>
    <row r="1" spans="1:36" ht="21" x14ac:dyDescent="0.35">
      <c r="B1" s="5" t="s">
        <v>21</v>
      </c>
    </row>
    <row r="2" spans="1:36" ht="37.5" x14ac:dyDescent="0.3">
      <c r="A2" s="1"/>
      <c r="B2" s="1"/>
      <c r="C2" s="1"/>
      <c r="D2" s="114" t="s">
        <v>2</v>
      </c>
      <c r="E2" s="114"/>
      <c r="F2" s="114"/>
      <c r="G2" s="114"/>
      <c r="H2" s="114" t="s">
        <v>3</v>
      </c>
      <c r="I2" s="114"/>
      <c r="J2" s="114"/>
      <c r="K2" s="114"/>
      <c r="L2" s="1" t="s">
        <v>4</v>
      </c>
      <c r="M2" s="14" t="s">
        <v>25</v>
      </c>
      <c r="N2" s="28" t="s">
        <v>28</v>
      </c>
      <c r="O2" s="14" t="s">
        <v>75</v>
      </c>
      <c r="P2" s="28" t="s">
        <v>109</v>
      </c>
      <c r="R2" s="90" t="s">
        <v>102</v>
      </c>
      <c r="AG2" s="89" t="s">
        <v>92</v>
      </c>
      <c r="AH2" s="89" t="s">
        <v>93</v>
      </c>
      <c r="AI2" s="89" t="s">
        <v>94</v>
      </c>
      <c r="AJ2" s="87" t="s">
        <v>95</v>
      </c>
    </row>
    <row r="3" spans="1:36" ht="50.25" customHeight="1" x14ac:dyDescent="0.3">
      <c r="A3" s="2" t="s">
        <v>1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27</v>
      </c>
      <c r="N3" s="2" t="s">
        <v>26</v>
      </c>
      <c r="O3" s="2" t="s">
        <v>76</v>
      </c>
      <c r="P3" s="2" t="s">
        <v>101</v>
      </c>
      <c r="Q3" s="23" t="s">
        <v>23</v>
      </c>
      <c r="R3" s="2" t="s">
        <v>27</v>
      </c>
      <c r="V3" s="72" t="s">
        <v>1</v>
      </c>
      <c r="W3" s="72" t="s">
        <v>80</v>
      </c>
      <c r="X3" s="72" t="s">
        <v>84</v>
      </c>
      <c r="Y3" s="73" t="s">
        <v>87</v>
      </c>
      <c r="Z3" s="73" t="s">
        <v>88</v>
      </c>
      <c r="AA3" s="72" t="s">
        <v>79</v>
      </c>
      <c r="AB3" s="73" t="s">
        <v>82</v>
      </c>
      <c r="AC3" s="73" t="s">
        <v>83</v>
      </c>
      <c r="AD3" s="73" t="s">
        <v>85</v>
      </c>
      <c r="AE3" s="73" t="s">
        <v>86</v>
      </c>
      <c r="AG3" s="85" t="s">
        <v>89</v>
      </c>
      <c r="AH3" s="88" t="s">
        <v>0</v>
      </c>
      <c r="AI3" s="88">
        <v>118</v>
      </c>
      <c r="AJ3" s="86" t="s">
        <v>96</v>
      </c>
    </row>
    <row r="4" spans="1:36" ht="24" hidden="1" customHeight="1" thickBot="1" x14ac:dyDescent="0.35">
      <c r="A4" s="12">
        <v>1</v>
      </c>
      <c r="B4" s="13" t="s">
        <v>98</v>
      </c>
      <c r="C4" s="65"/>
      <c r="D4" s="8">
        <v>0.8</v>
      </c>
      <c r="E4" s="8">
        <f>Таблица1[[#This Row],[Глубина, м]]*0.25+Таблица1[[#This Row],[Шир. по низу, м]]+Таблица1[[#This Row],[Глубина, м]]*0.25</f>
        <v>1.4350000000000001</v>
      </c>
      <c r="F4" s="65">
        <v>1.27</v>
      </c>
      <c r="G4" s="9">
        <f t="shared" ref="G4:G12" si="0">(D4+E4)/2*F4*C4</f>
        <v>0</v>
      </c>
      <c r="H4" s="8">
        <f>Таблица1[[#This Row],[Шир. по низу, м]]</f>
        <v>0.8</v>
      </c>
      <c r="I4" s="66">
        <f t="shared" ref="I4:I11" si="1">J4*(E4-D4)/F4+D4</f>
        <v>0.85000000000000009</v>
      </c>
      <c r="J4" s="8">
        <v>0.1</v>
      </c>
      <c r="K4" s="9">
        <f t="shared" ref="K4:K12" si="2">(H4+I4)/2*J4*C4</f>
        <v>0</v>
      </c>
      <c r="L4" s="11">
        <f>Таблица1[[#This Row],[V, м3]]-Таблица1[[#This Row],[V, м3_]]-Таблица1[[#This Row],[V, м3___]]-Таблица1[[#This Row],[V, м3____]]</f>
        <v>0</v>
      </c>
      <c r="M4" s="27">
        <f>2*3.1415*0.11/2*0.11/2*Таблица1[[#This Row],[Длина участка, м]]</f>
        <v>0</v>
      </c>
      <c r="N4" s="27"/>
      <c r="O4" s="26"/>
      <c r="P4" s="26">
        <f>Таблица1[[#This Row],[Глубина, м]]-Таблица1[[#This Row],[Глубина, м_]]</f>
        <v>1.17</v>
      </c>
      <c r="Q4">
        <f>((Таблица1[[#This Row],[Глубина, м2]]*0.25+Таблица1[[#This Row],[Шир. по низу, м]]+Таблица1[[#This Row],[Глубина, м2]]*0.25)+Таблица1[[#This Row],[Шир. по низу, м]])/2</f>
        <v>1.0925</v>
      </c>
      <c r="R4">
        <f>Таблица1[[#This Row],[Глубина, м2]]*Таблица1[[#This Row],[Шир. по низу, м]]*Таблица1[[#This Row],[Длина участка, м]]-Таблица1[[#This Row],[V, м3___]]</f>
        <v>0</v>
      </c>
      <c r="V4" s="71">
        <v>1</v>
      </c>
      <c r="W4" s="94" t="s">
        <v>98</v>
      </c>
      <c r="X4" s="79">
        <f>Таблица1[[#This Row],[Длина участка, м]]</f>
        <v>0</v>
      </c>
      <c r="Y4" s="84">
        <f>Таблица1[[#This Row],[Шир. по низу, м]]</f>
        <v>0.8</v>
      </c>
      <c r="Z4" s="84">
        <f>Таблица1[[#This Row],[Шир. по верху, м]]</f>
        <v>1.4350000000000001</v>
      </c>
      <c r="AA4" s="79">
        <f>Таблица1[[#This Row],[Глубина, м]]</f>
        <v>1.27</v>
      </c>
      <c r="AB4" s="80">
        <f>Таблица1[[#This Row],[V, м3]]</f>
        <v>0</v>
      </c>
      <c r="AC4" s="76">
        <f>Таблица1[[#This Row],[V, м3_]]</f>
        <v>0</v>
      </c>
      <c r="AD4" s="75">
        <f>Таблица1[[#This Row],[V, м3___]]</f>
        <v>0</v>
      </c>
      <c r="AE4" s="75">
        <f>Таблица1[[#This Row],[V, м3____]]+Таблица1[[#This Row],[V, м3__]]</f>
        <v>0</v>
      </c>
      <c r="AG4" s="85" t="s">
        <v>90</v>
      </c>
      <c r="AH4" s="88" t="s">
        <v>0</v>
      </c>
      <c r="AI4" s="88">
        <v>84</v>
      </c>
      <c r="AJ4" s="86"/>
    </row>
    <row r="5" spans="1:36" ht="24.75" hidden="1" customHeight="1" thickTop="1" x14ac:dyDescent="0.3">
      <c r="A5" s="12">
        <v>1</v>
      </c>
      <c r="B5" s="13" t="s">
        <v>98</v>
      </c>
      <c r="C5" s="65"/>
      <c r="D5" s="8">
        <v>0.8</v>
      </c>
      <c r="E5" s="8">
        <f>Таблица1[[#This Row],[Глубина, м]]*0.25+Таблица1[[#This Row],[Шир. по низу, м]]+Таблица1[[#This Row],[Глубина, м]]*0.25</f>
        <v>1.4550000000000001</v>
      </c>
      <c r="F5" s="65">
        <v>1.31</v>
      </c>
      <c r="G5" s="9">
        <f t="shared" ref="G5" si="3">(D5+E5)/2*F5*C5</f>
        <v>0</v>
      </c>
      <c r="H5" s="8">
        <f>Таблица1[[#This Row],[Шир. по низу, м]]</f>
        <v>0.8</v>
      </c>
      <c r="I5" s="66">
        <f t="shared" ref="I5" si="4">J5*(E5-D5)/F5+D5</f>
        <v>0.85000000000000009</v>
      </c>
      <c r="J5" s="8">
        <v>0.1</v>
      </c>
      <c r="K5" s="9">
        <f t="shared" ref="K5" si="5">(H5+I5)/2*J5*C5</f>
        <v>0</v>
      </c>
      <c r="L5" s="11">
        <f>Таблица1[[#This Row],[V, м3]]-Таблица1[[#This Row],[V, м3_]]-Таблица1[[#This Row],[V, м3___]]-Таблица1[[#This Row],[V, м3____]]</f>
        <v>0</v>
      </c>
      <c r="M5" s="27">
        <f>2*3.1415*0.111/2*0.111/2*Таблица1[[#This Row],[Длина участка, м]]</f>
        <v>0</v>
      </c>
      <c r="N5" s="27"/>
      <c r="O5" s="26"/>
      <c r="P5" s="26">
        <f>Таблица1[[#This Row],[Глубина, м]]-Таблица1[[#This Row],[Глубина, м_]]</f>
        <v>1.21</v>
      </c>
      <c r="Q5">
        <f>((Таблица1[[#This Row],[Глубина, м2]]*0.25+Таблица1[[#This Row],[Шир. по низу, м]]+Таблица1[[#This Row],[Глубина, м2]]*0.25)+Таблица1[[#This Row],[Шир. по низу, м]])/2</f>
        <v>1.1025</v>
      </c>
      <c r="R5">
        <f>Таблица1[[#This Row],[Глубина, м2]]*Таблица1[[#This Row],[Шир. по низу, м]]*Таблица1[[#This Row],[Длина участка, м]]-Таблица1[[#This Row],[V, м3___]]</f>
        <v>0</v>
      </c>
      <c r="V5" s="74">
        <v>2</v>
      </c>
      <c r="W5" s="93" t="s">
        <v>99</v>
      </c>
      <c r="X5" s="78">
        <f>Таблица2[[#Totals],[Длина участка, м]]</f>
        <v>0</v>
      </c>
      <c r="Y5" s="78">
        <f>Таблица2[[#Totals],[Шир. по низу, м]]</f>
        <v>0</v>
      </c>
      <c r="Z5" s="78">
        <f>Таблица2[[#Totals],[Шир. по верху, м]]</f>
        <v>0</v>
      </c>
      <c r="AA5" s="78" t="str">
        <f>Таблица2[[#Totals],[Глубина, м]]</f>
        <v>в ручную</v>
      </c>
      <c r="AB5" s="81">
        <f>Таблица2[[#Totals],[V, м3]]</f>
        <v>1.2424356000000001</v>
      </c>
      <c r="AC5" s="81">
        <f>K22</f>
        <v>0</v>
      </c>
      <c r="AD5" s="78">
        <f>Таблица2[[#Totals],[объем замещения]]</f>
        <v>0</v>
      </c>
      <c r="AE5" s="77">
        <f>Таблица2[[#Totals],[V, м3__]]</f>
        <v>0</v>
      </c>
      <c r="AG5" s="85" t="s">
        <v>91</v>
      </c>
      <c r="AH5" s="88" t="s">
        <v>0</v>
      </c>
      <c r="AI5" s="88">
        <v>14</v>
      </c>
      <c r="AJ5" s="86"/>
    </row>
    <row r="6" spans="1:36" x14ac:dyDescent="0.25">
      <c r="A6" s="12">
        <v>2</v>
      </c>
      <c r="B6" s="16" t="s">
        <v>111</v>
      </c>
      <c r="C6" s="65">
        <v>5.04</v>
      </c>
      <c r="D6" s="8">
        <v>0.91</v>
      </c>
      <c r="E6" s="8">
        <v>0.91</v>
      </c>
      <c r="F6" s="65">
        <v>0.83</v>
      </c>
      <c r="G6" s="9">
        <f t="shared" si="0"/>
        <v>3.8067120000000001</v>
      </c>
      <c r="H6" s="8">
        <f>Таблица1[[#This Row],[Шир. по низу, м]]</f>
        <v>0.91</v>
      </c>
      <c r="I6" s="66">
        <f t="shared" si="1"/>
        <v>0.91</v>
      </c>
      <c r="J6" s="8">
        <v>0.1</v>
      </c>
      <c r="K6" s="9">
        <f t="shared" si="2"/>
        <v>0.45864000000000005</v>
      </c>
      <c r="L6" s="11">
        <f>Таблица1[[#This Row],[V, м3]]-Таблица1[[#This Row],[V, м3_]]-Таблица1[[#This Row],[V, м3___]]-Таблица1[[#This Row],[V, м3____]]</f>
        <v>2.3849279999999999</v>
      </c>
      <c r="M6" s="27">
        <f>4*3.1415*0.11/2*0.11/2*Таблица1[[#This Row],[Длина участка, м]]</f>
        <v>0.19158123600000002</v>
      </c>
      <c r="N6" s="27">
        <f>Таблица1[[#This Row],[Шир. по низу, м]]*0.21*Таблица1[[#This Row],[Длина участка, м]]-Таблица1[[#This Row],[V, м3___]]</f>
        <v>0.77156276400000001</v>
      </c>
      <c r="O6" s="26"/>
      <c r="P6" s="26">
        <f>Таблица1[[#This Row],[Глубина, м]]-Таблица1[[#This Row],[Глубина, м_]]</f>
        <v>0.73</v>
      </c>
      <c r="V6" s="46"/>
      <c r="W6" s="46" t="s">
        <v>81</v>
      </c>
      <c r="X6" s="82"/>
      <c r="Y6" s="83"/>
      <c r="Z6" s="83"/>
      <c r="AA6" s="83"/>
      <c r="AB6" s="83">
        <f>AB4+AB5</f>
        <v>1.2424356000000001</v>
      </c>
      <c r="AC6" s="83">
        <f t="shared" ref="AC6:AE6" si="6">AC4+AC5</f>
        <v>0</v>
      </c>
      <c r="AD6" s="83">
        <f t="shared" si="6"/>
        <v>0</v>
      </c>
      <c r="AE6" s="83">
        <f t="shared" si="6"/>
        <v>0</v>
      </c>
    </row>
    <row r="7" spans="1:36" hidden="1" x14ac:dyDescent="0.25">
      <c r="A7" s="12">
        <v>3</v>
      </c>
      <c r="B7" s="13" t="s">
        <v>71</v>
      </c>
      <c r="C7" s="65"/>
      <c r="D7" s="8">
        <v>0.6</v>
      </c>
      <c r="E7" s="8">
        <v>0.8</v>
      </c>
      <c r="F7" s="65">
        <f>C39</f>
        <v>1.1959999999999993</v>
      </c>
      <c r="G7" s="9">
        <f t="shared" si="0"/>
        <v>0</v>
      </c>
      <c r="H7" s="8">
        <f>Таблица1[[#This Row],[Шир. по низу, м]]</f>
        <v>0.6</v>
      </c>
      <c r="I7" s="66">
        <f t="shared" si="1"/>
        <v>0.61672240802675582</v>
      </c>
      <c r="J7" s="8">
        <v>0.1</v>
      </c>
      <c r="K7" s="9">
        <f t="shared" si="2"/>
        <v>0</v>
      </c>
      <c r="L7" s="11">
        <f>Таблица1[[#This Row],[V, м3]]-Таблица1[[#This Row],[V, м3_]]-Таблица1[[#This Row],[V, м3___]]-Таблица1[[#This Row],[V, м3____]]</f>
        <v>0</v>
      </c>
      <c r="M7" s="27">
        <f>4*3.1415*0.063/2*0.063/2*Таблица1[[#This Row],[Длина участка, м]]</f>
        <v>0</v>
      </c>
      <c r="N7" s="27">
        <f>Таблица1[[#This Row],[Шир. по низу, м]]*0.15*Таблица1[[#This Row],[Длина участка, м]]-Таблица1[[#This Row],[V, м3___]]</f>
        <v>0</v>
      </c>
      <c r="O7" s="26">
        <f>4*Таблица1[[#This Row],[Длина участка, м]]+4*C8</f>
        <v>0</v>
      </c>
      <c r="P7" s="26">
        <f>Таблица1[[#This Row],[Глубина, м]]-Таблица1[[#This Row],[Глубина, м_]]</f>
        <v>1.0959999999999992</v>
      </c>
    </row>
    <row r="8" spans="1:36" hidden="1" x14ac:dyDescent="0.25">
      <c r="A8" s="12">
        <v>4</v>
      </c>
      <c r="B8" s="13" t="s">
        <v>78</v>
      </c>
      <c r="C8" s="65"/>
      <c r="D8" s="8">
        <v>0.6</v>
      </c>
      <c r="E8" s="8">
        <v>0.8</v>
      </c>
      <c r="F8" s="65">
        <f>C39</f>
        <v>1.1959999999999993</v>
      </c>
      <c r="G8" s="9">
        <f t="shared" si="0"/>
        <v>0</v>
      </c>
      <c r="H8" s="8">
        <f>Таблица1[[#This Row],[Шир. по низу, м]]</f>
        <v>0.6</v>
      </c>
      <c r="I8" s="66">
        <f t="shared" si="1"/>
        <v>0.61672240802675582</v>
      </c>
      <c r="J8" s="8">
        <v>0.1</v>
      </c>
      <c r="K8" s="9">
        <f t="shared" si="2"/>
        <v>0</v>
      </c>
      <c r="L8" s="11">
        <f>Таблица1[[#This Row],[V, м3]]-Таблица1[[#This Row],[V, м3_]]-Таблица1[[#This Row],[V, м3___]]-Таблица1[[#This Row],[V, м3____]]</f>
        <v>0</v>
      </c>
      <c r="M8" s="27">
        <f>3.1415*0.18/2*0.18/2*Таблица1[[#This Row],[Длина участка, м]]</f>
        <v>0</v>
      </c>
      <c r="N8" s="27">
        <f>Таблица1[[#This Row],[Шир. по низу, м]]*0.15*Таблица1[[#This Row],[Длина участка, м]]-Таблица1[[#This Row],[V, м3___]]</f>
        <v>0</v>
      </c>
      <c r="O8" s="26"/>
      <c r="P8" s="26">
        <f>Таблица1[[#This Row],[Глубина, м]]-Таблица1[[#This Row],[Глубина, м_]]</f>
        <v>1.0959999999999992</v>
      </c>
    </row>
    <row r="9" spans="1:36" hidden="1" x14ac:dyDescent="0.25">
      <c r="A9" s="12">
        <v>5</v>
      </c>
      <c r="B9" s="13" t="s">
        <v>31</v>
      </c>
      <c r="C9" s="65"/>
      <c r="D9" s="8">
        <v>0.6</v>
      </c>
      <c r="E9" s="8">
        <v>0.8</v>
      </c>
      <c r="F9" s="65">
        <f>C45</f>
        <v>1.0321999999999996</v>
      </c>
      <c r="G9" s="9">
        <f t="shared" si="0"/>
        <v>0</v>
      </c>
      <c r="H9" s="8">
        <f>Таблица1[[#This Row],[Шир. по низу, м]]</f>
        <v>0.6</v>
      </c>
      <c r="I9" s="66">
        <f t="shared" si="1"/>
        <v>0.6193760899050571</v>
      </c>
      <c r="J9" s="8">
        <v>0.1</v>
      </c>
      <c r="K9" s="9">
        <f t="shared" si="2"/>
        <v>0</v>
      </c>
      <c r="L9" s="11">
        <f>Таблица1[[#This Row],[V, м3]]-Таблица1[[#This Row],[V, м3_]]-Таблица1[[#This Row],[V, м3___]]-Таблица1[[#This Row],[V, м3____]]</f>
        <v>0</v>
      </c>
      <c r="M9" s="27">
        <f>2*3.1415*0.05/2*0.05/2*Таблица1[[#This Row],[Длина участка, м]]</f>
        <v>0</v>
      </c>
      <c r="N9" s="27">
        <f>Таблица1[[#This Row],[Шир. по низу, м]]*0.15*Таблица1[[#This Row],[Длина участка, м]]-Таблица1[[#This Row],[V, м3___]]</f>
        <v>0</v>
      </c>
      <c r="O9" s="26">
        <f>2*Таблица1[[#This Row],[Длина участка, м]]+2*C10+2*C11</f>
        <v>0</v>
      </c>
      <c r="P9" s="26">
        <f>Таблица1[[#This Row],[Глубина, м]]-Таблица1[[#This Row],[Глубина, м_]]</f>
        <v>0.93219999999999958</v>
      </c>
    </row>
    <row r="10" spans="1:36" hidden="1" x14ac:dyDescent="0.25">
      <c r="A10" s="12">
        <v>6</v>
      </c>
      <c r="B10" s="13" t="s">
        <v>32</v>
      </c>
      <c r="C10" s="65"/>
      <c r="D10" s="8">
        <v>0.6</v>
      </c>
      <c r="E10" s="8">
        <v>0.8</v>
      </c>
      <c r="F10" s="65">
        <f>C45</f>
        <v>1.0321999999999996</v>
      </c>
      <c r="G10" s="9">
        <f t="shared" si="0"/>
        <v>0</v>
      </c>
      <c r="H10" s="8">
        <f>Таблица1[[#This Row],[Шир. по низу, м]]</f>
        <v>0.6</v>
      </c>
      <c r="I10" s="66">
        <f t="shared" si="1"/>
        <v>0.6193760899050571</v>
      </c>
      <c r="J10" s="8">
        <v>0.1</v>
      </c>
      <c r="K10" s="9">
        <f t="shared" si="2"/>
        <v>0</v>
      </c>
      <c r="L10" s="11">
        <f>Таблица1[[#This Row],[V, м3]]-Таблица1[[#This Row],[V, м3_]]-Таблица1[[#This Row],[V, м3___]]-Таблица1[[#This Row],[V, м3____]]</f>
        <v>0</v>
      </c>
      <c r="M10" s="27">
        <f>3.1415*0.16/2*0.16/2*Таблица1[[#This Row],[Длина участка, м]]</f>
        <v>0</v>
      </c>
      <c r="N10" s="27">
        <f>Таблица1[[#This Row],[Шир. по низу, м]]*0.15*Таблица1[[#This Row],[Длина участка, м]]-Таблица1[[#This Row],[V, м3___]]</f>
        <v>0</v>
      </c>
      <c r="O10" s="26"/>
      <c r="P10" s="26">
        <f>Таблица1[[#This Row],[Глубина, м]]-Таблица1[[#This Row],[Глубина, м_]]</f>
        <v>0.93219999999999958</v>
      </c>
    </row>
    <row r="11" spans="1:36" hidden="1" x14ac:dyDescent="0.25">
      <c r="A11" s="12">
        <v>7</v>
      </c>
      <c r="B11" s="13" t="s">
        <v>33</v>
      </c>
      <c r="C11" s="65"/>
      <c r="D11" s="8">
        <v>0.6</v>
      </c>
      <c r="E11" s="8">
        <v>0.8</v>
      </c>
      <c r="F11" s="65">
        <f>C45</f>
        <v>1.0321999999999996</v>
      </c>
      <c r="G11" s="9">
        <f t="shared" si="0"/>
        <v>0</v>
      </c>
      <c r="H11" s="8">
        <f>Таблица1[[#This Row],[Шир. по низу, м]]</f>
        <v>0.6</v>
      </c>
      <c r="I11" s="66">
        <f t="shared" si="1"/>
        <v>0.6193760899050571</v>
      </c>
      <c r="J11" s="8">
        <v>0.1</v>
      </c>
      <c r="K11" s="9">
        <f t="shared" si="2"/>
        <v>0</v>
      </c>
      <c r="L11" s="11">
        <f>Таблица1[[#This Row],[V, м3]]-Таблица1[[#This Row],[V, м3_]]-Таблица1[[#This Row],[V, м3___]]-Таблица1[[#This Row],[V, м3____]]</f>
        <v>0</v>
      </c>
      <c r="M11" s="27">
        <f>3*3.1415*0.05/2*0.05/2*Таблица1[[#This Row],[Длина участка, м]]</f>
        <v>0</v>
      </c>
      <c r="N11" s="27">
        <f>Таблица1[[#This Row],[Шир. по низу, м]]*0.15*Таблица1[[#This Row],[Длина участка, м]]-Таблица1[[#This Row],[V, м3___]]</f>
        <v>0</v>
      </c>
      <c r="O11" s="26"/>
      <c r="P11" s="26">
        <f>Таблица1[[#This Row],[Глубина, м]]-Таблица1[[#This Row],[Глубина, м_]]</f>
        <v>0.93219999999999958</v>
      </c>
    </row>
    <row r="12" spans="1:36" x14ac:dyDescent="0.25">
      <c r="A12" s="15">
        <v>8</v>
      </c>
      <c r="B12" s="16" t="s">
        <v>108</v>
      </c>
      <c r="C12" s="91">
        <v>40.5</v>
      </c>
      <c r="D12" s="17">
        <v>0.4</v>
      </c>
      <c r="E12" s="17">
        <v>0.4</v>
      </c>
      <c r="F12" s="17">
        <v>0.6</v>
      </c>
      <c r="G12" s="9">
        <f t="shared" si="0"/>
        <v>9.7199999999999989</v>
      </c>
      <c r="H12" s="17">
        <v>0.4</v>
      </c>
      <c r="I12" s="19">
        <f>Таблица1[[#This Row],[Шир. по верху, м]]</f>
        <v>0.4</v>
      </c>
      <c r="J12" s="17">
        <v>0.1</v>
      </c>
      <c r="K12" s="9">
        <f t="shared" si="2"/>
        <v>1.6200000000000003</v>
      </c>
      <c r="L12" s="11">
        <f>Таблица1[[#This Row],[V, м3]]-Таблица1[[#This Row],[V, м3_]]-Таблица1[[#This Row],[V, м3___]]-Таблица1[[#This Row],[V, м3____]]</f>
        <v>5.6699999999999982</v>
      </c>
      <c r="M12" s="27">
        <f>3*3.1415*0.05/2*0.05/2*Таблица1[[#This Row],[Длина участка, м]]</f>
        <v>0.23855765625000003</v>
      </c>
      <c r="N12" s="27">
        <f>Таблица1[[#This Row],[Шир. по низу, м]]*0.15*Таблица1[[#This Row],[Длина участка, м]]-Таблица1[[#This Row],[V, м3___]]</f>
        <v>2.1914423437499995</v>
      </c>
      <c r="O12" s="26"/>
      <c r="P12" s="26">
        <f>Таблица1[[#This Row],[Глубина, м]]-Таблица1[[#This Row],[Глубина, м_]]</f>
        <v>0.5</v>
      </c>
    </row>
    <row r="13" spans="1:36" x14ac:dyDescent="0.25">
      <c r="A13" s="15"/>
      <c r="B13" s="16"/>
      <c r="C13" s="91"/>
      <c r="D13" s="17"/>
      <c r="E13" s="17"/>
      <c r="F13" s="17"/>
      <c r="G13" s="18"/>
      <c r="H13" s="17"/>
      <c r="I13" s="19"/>
      <c r="J13" s="17"/>
      <c r="K13" s="18"/>
      <c r="L13" s="20"/>
      <c r="M13" s="26"/>
      <c r="N13" s="26"/>
      <c r="O13" s="26"/>
      <c r="P13" s="26">
        <f>Таблица1[[#This Row],[Глубина, м]]-Таблица1[[#This Row],[Глубина, м_]]</f>
        <v>0</v>
      </c>
    </row>
    <row r="14" spans="1:36" x14ac:dyDescent="0.25">
      <c r="A14" s="17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36" ht="18.75" x14ac:dyDescent="0.3">
      <c r="A15" s="22"/>
      <c r="B15" s="24" t="s">
        <v>11</v>
      </c>
      <c r="C15" s="92">
        <f>SUM(C4:C14)</f>
        <v>45.54</v>
      </c>
      <c r="D15" s="24"/>
      <c r="E15" s="24"/>
      <c r="F15" s="24"/>
      <c r="G15" s="25">
        <f>SUM(G4:G14)</f>
        <v>13.526712</v>
      </c>
      <c r="H15" s="25"/>
      <c r="I15" s="25"/>
      <c r="J15" s="25"/>
      <c r="K15" s="25">
        <f>SUM(K4:K14)</f>
        <v>2.0786400000000005</v>
      </c>
      <c r="L15" s="25">
        <f>L12+L6</f>
        <v>8.0549279999999985</v>
      </c>
      <c r="M15" s="25">
        <f>M12+M6</f>
        <v>0.43013889225000002</v>
      </c>
      <c r="N15" s="25">
        <f t="shared" ref="N15" si="7">N12+N6</f>
        <v>2.9630051077499995</v>
      </c>
      <c r="O15" s="25">
        <f>SUM(O4:O11)</f>
        <v>0</v>
      </c>
      <c r="P15" s="25"/>
      <c r="Q15" s="25"/>
      <c r="R15" s="25"/>
    </row>
    <row r="16" spans="1:36" x14ac:dyDescent="0.25">
      <c r="G16" s="29">
        <f>G15*0.05</f>
        <v>0.67633560000000004</v>
      </c>
    </row>
    <row r="18" spans="1:29" ht="21" x14ac:dyDescent="0.35">
      <c r="A18" s="4"/>
      <c r="B18" s="5" t="s">
        <v>12</v>
      </c>
    </row>
    <row r="19" spans="1:29" x14ac:dyDescent="0.25">
      <c r="A19" s="6"/>
      <c r="B19" s="6"/>
      <c r="C19" s="6"/>
      <c r="D19" s="115" t="s">
        <v>2</v>
      </c>
      <c r="E19" s="115"/>
      <c r="F19" s="115"/>
      <c r="G19" s="115"/>
      <c r="H19" s="115" t="s">
        <v>3</v>
      </c>
      <c r="I19" s="115"/>
      <c r="J19" s="115"/>
      <c r="K19" s="115"/>
      <c r="L19" s="6" t="s">
        <v>4</v>
      </c>
    </row>
    <row r="20" spans="1:29" x14ac:dyDescent="0.25">
      <c r="A20" s="2" t="s">
        <v>1</v>
      </c>
      <c r="B20" s="2" t="s">
        <v>5</v>
      </c>
      <c r="C20" s="2" t="s">
        <v>6</v>
      </c>
      <c r="D20" s="2" t="s">
        <v>7</v>
      </c>
      <c r="E20" s="2" t="s">
        <v>8</v>
      </c>
      <c r="F20" s="2" t="s">
        <v>9</v>
      </c>
      <c r="G20" s="2" t="s">
        <v>10</v>
      </c>
      <c r="H20" s="2" t="s">
        <v>13</v>
      </c>
      <c r="I20" s="2" t="s">
        <v>14</v>
      </c>
      <c r="J20" s="2" t="s">
        <v>15</v>
      </c>
      <c r="K20" s="2" t="s">
        <v>16</v>
      </c>
      <c r="L20" s="2" t="s">
        <v>17</v>
      </c>
      <c r="M20" s="2" t="s">
        <v>18</v>
      </c>
      <c r="N20" s="2" t="s">
        <v>24</v>
      </c>
      <c r="O20" s="2" t="s">
        <v>100</v>
      </c>
      <c r="P20" s="2" t="s">
        <v>74</v>
      </c>
      <c r="Q20" s="2" t="s">
        <v>19</v>
      </c>
      <c r="R20" s="2" t="s">
        <v>20</v>
      </c>
    </row>
    <row r="21" spans="1:29" ht="18" customHeight="1" x14ac:dyDescent="0.25">
      <c r="A21" s="3">
        <v>1</v>
      </c>
      <c r="B21" s="7" t="s">
        <v>22</v>
      </c>
      <c r="C21" s="8">
        <v>2.6</v>
      </c>
      <c r="D21" s="8">
        <v>1.8</v>
      </c>
      <c r="E21" s="8">
        <v>1.8</v>
      </c>
      <c r="F21" s="8">
        <v>2.2850000000000001</v>
      </c>
      <c r="G21" s="9">
        <f>(D21+E21)/2*F21*C21*Таблица2[[#This Row],[Кол-во колодцев]]</f>
        <v>0</v>
      </c>
      <c r="H21" s="8">
        <f>Таблица2[[#This Row],[Шир. по низу, м]]</f>
        <v>1.8</v>
      </c>
      <c r="I21" s="10">
        <f>J21*(E21-D21)/F21+D21</f>
        <v>1.8</v>
      </c>
      <c r="J21" s="8">
        <v>0.15</v>
      </c>
      <c r="K21" s="9">
        <f>(H21+I21)/2*J21*C21*Таблица2[[#This Row],[Кол-во колодцев]]</f>
        <v>0</v>
      </c>
      <c r="L21" s="11">
        <f>G21-K21-Таблица2[[#This Row],[Кол-во колодцев]]*Таблица2[[#This Row],[Объем колодца]]</f>
        <v>0</v>
      </c>
      <c r="M21" s="7"/>
      <c r="N21" s="7"/>
      <c r="O21" s="7"/>
      <c r="P21" s="7">
        <f>Таблица2[[#This Row],[Кол-во колодцев]]*Таблица2[[#This Row],[Объем колодца]]</f>
        <v>0</v>
      </c>
      <c r="Q21" s="7">
        <f>Таблица2[[#This Row],[Шир. по низу, м]]*Таблица2[[#This Row],[Длина участка, м]]*0*Таблица2[[#This Row],[Кол-во колодцев]]</f>
        <v>0</v>
      </c>
      <c r="R21" s="7">
        <v>4</v>
      </c>
    </row>
    <row r="22" spans="1:29" x14ac:dyDescent="0.25">
      <c r="A22" s="3">
        <v>2</v>
      </c>
      <c r="B22" s="7" t="s">
        <v>72</v>
      </c>
      <c r="C22" s="31">
        <v>3.5</v>
      </c>
      <c r="D22" s="31">
        <v>2.6</v>
      </c>
      <c r="E22" s="31">
        <v>2.6</v>
      </c>
      <c r="F22" s="31">
        <v>2.11</v>
      </c>
      <c r="G22" s="32">
        <f>(D22+E22)/2*F22*C22*Таблица2[[#This Row],[Кол-во колодцев]]</f>
        <v>0</v>
      </c>
      <c r="H22" s="31">
        <f>Таблица2[[#This Row],[Шир. по низу, м]]</f>
        <v>2.6</v>
      </c>
      <c r="I22" s="33">
        <f>J22*(E22-D22)/F22+D22</f>
        <v>2.6</v>
      </c>
      <c r="J22" s="31">
        <v>0.15</v>
      </c>
      <c r="K22" s="32">
        <f>(H22+I22)/2*J22*C22*Таблица2[[#This Row],[Кол-во колодцев]]</f>
        <v>0</v>
      </c>
      <c r="L22" s="11">
        <f>G22-K22-Таблица2[[#This Row],[Кол-во колодцев]]*Таблица2[[#This Row],[Объем колодца]]</f>
        <v>0</v>
      </c>
      <c r="M22" s="30"/>
      <c r="N22" s="30"/>
      <c r="O22" s="30"/>
      <c r="P22" s="7">
        <f>Таблица2[[#This Row],[Кол-во колодцев]]*Таблица2[[#This Row],[Объем колодца]]</f>
        <v>0</v>
      </c>
      <c r="Q22" s="30">
        <f>Таблица2[[#This Row],[Шир. по низу, м]]*Таблица2[[#This Row],[Длина участка, м]]*0*Таблица2[[#This Row],[Кол-во колодцев]]</f>
        <v>0</v>
      </c>
      <c r="R22" s="30">
        <v>3.98</v>
      </c>
    </row>
    <row r="23" spans="1:29" x14ac:dyDescent="0.25">
      <c r="A23" s="3">
        <v>3</v>
      </c>
      <c r="B23" s="7" t="s">
        <v>73</v>
      </c>
      <c r="C23" s="31">
        <v>2</v>
      </c>
      <c r="D23" s="31">
        <v>1.7</v>
      </c>
      <c r="E23" s="31">
        <v>1.7</v>
      </c>
      <c r="F23" s="31">
        <v>1.27</v>
      </c>
      <c r="G23" s="32">
        <f>(D23+E23)/2*F23*C23*Таблица2[[#This Row],[Кол-во колодцев]]</f>
        <v>0</v>
      </c>
      <c r="H23" s="31">
        <f>Таблица2[[#This Row],[Шир. по низу, м]]</f>
        <v>1.7</v>
      </c>
      <c r="I23" s="33">
        <f>J23*(E23-D23)/F23+D23</f>
        <v>1.7</v>
      </c>
      <c r="J23" s="31">
        <v>0.15</v>
      </c>
      <c r="K23" s="32">
        <f>(H23+I23)/2*J23*C23*Таблица2[[#This Row],[Кол-во колодцев]]</f>
        <v>0</v>
      </c>
      <c r="L23" s="11">
        <f>G23-K23-Таблица2[[#This Row],[Кол-во колодцев]]*Таблица2[[#This Row],[Объем колодца]]</f>
        <v>0</v>
      </c>
      <c r="M23" s="30"/>
      <c r="N23" s="30"/>
      <c r="O23" s="30"/>
      <c r="P23" s="7">
        <f>Таблица2[[#This Row],[Кол-во колодцев]]*Таблица2[[#This Row],[Объем колодца]]</f>
        <v>0</v>
      </c>
      <c r="Q23" s="30">
        <f>Таблица2[[#This Row],[Шир. по низу, м]]*Таблица2[[#This Row],[Длина участка, м]]*0*Таблица2[[#This Row],[Кол-во колодцев]]</f>
        <v>0</v>
      </c>
      <c r="R23" s="30">
        <v>1.22</v>
      </c>
    </row>
    <row r="24" spans="1:29" x14ac:dyDescent="0.25">
      <c r="A24" s="3"/>
      <c r="B24" s="7" t="s">
        <v>104</v>
      </c>
      <c r="C24" s="31">
        <v>2</v>
      </c>
      <c r="D24" s="31">
        <v>1.7</v>
      </c>
      <c r="E24" s="31">
        <v>1.7</v>
      </c>
      <c r="F24" s="31">
        <v>1.1100000000000001</v>
      </c>
      <c r="G24" s="95">
        <f>(D24+E24)/2*F24*C24*Таблица2[[#This Row],[Кол-во колодцев]]</f>
        <v>11.321999999999999</v>
      </c>
      <c r="H24" s="31">
        <f>Таблица2[[#This Row],[Шир. по низу, м]]</f>
        <v>1.7</v>
      </c>
      <c r="I24" s="33">
        <f>J24*(E24-D24)/F24+D24</f>
        <v>1.7</v>
      </c>
      <c r="J24" s="31">
        <v>0.15</v>
      </c>
      <c r="K24" s="32">
        <f>(H24+I24)/2*J24*C24*Таблица2[[#This Row],[Кол-во колодцев]]</f>
        <v>1.53</v>
      </c>
      <c r="L24" s="96">
        <f>G24-K24-Таблица2[[#This Row],[объем замещения]]</f>
        <v>6.8339999999999996</v>
      </c>
      <c r="M24" s="30">
        <v>3</v>
      </c>
      <c r="N24" s="30"/>
      <c r="O24" s="30"/>
      <c r="P24" s="97">
        <f>Таблица2[[#This Row],[Кол-во колодцев]]*Таблица2[[#This Row],[Объем колодца]]</f>
        <v>2.9580000000000002</v>
      </c>
      <c r="Q24" s="30">
        <f>Таблица2[[#This Row],[Шир. по низу, м]]*Таблица2[[#This Row],[Длина участка, м]]*0*Таблица2[[#This Row],[Кол-во колодцев]]</f>
        <v>0</v>
      </c>
      <c r="R24" s="30">
        <v>0.98599999999999999</v>
      </c>
    </row>
    <row r="25" spans="1:29" s="106" customFormat="1" ht="18.75" x14ac:dyDescent="0.3">
      <c r="A25" s="101"/>
      <c r="B25" s="24" t="s">
        <v>29</v>
      </c>
      <c r="C25" s="103"/>
      <c r="D25" s="103"/>
      <c r="E25" s="103"/>
      <c r="F25" s="103"/>
      <c r="G25" s="104">
        <f>G24+G15</f>
        <v>24.848711999999999</v>
      </c>
      <c r="H25" s="104"/>
      <c r="I25" s="104"/>
      <c r="J25" s="104"/>
      <c r="K25" s="104">
        <f t="shared" ref="K25" si="8">K24+K15</f>
        <v>3.6086400000000003</v>
      </c>
      <c r="L25" s="104">
        <f>L24+L15</f>
        <v>14.888927999999998</v>
      </c>
      <c r="M25" s="102"/>
      <c r="N25" s="102"/>
      <c r="O25" s="102"/>
      <c r="P25" s="105">
        <f>P24</f>
        <v>2.9580000000000002</v>
      </c>
      <c r="Q25" s="102">
        <f>Таблица2[[#This Row],[Шир. по низу, м]]*Таблица2[[#This Row],[Длина участка, м]]*0*Таблица2[[#This Row],[Кол-во колодцев]]</f>
        <v>0</v>
      </c>
      <c r="R25" s="102"/>
      <c r="AC25" s="107"/>
    </row>
    <row r="26" spans="1:29" ht="15.75" x14ac:dyDescent="0.25">
      <c r="A26" s="3"/>
      <c r="B26" s="30"/>
      <c r="C26" s="31"/>
      <c r="D26" s="31"/>
      <c r="E26" s="31"/>
      <c r="F26" s="108" t="s">
        <v>112</v>
      </c>
      <c r="G26" s="109">
        <f>G25*0.05</f>
        <v>1.2424356000000001</v>
      </c>
      <c r="H26" s="31"/>
      <c r="I26" s="33"/>
      <c r="J26" s="31"/>
      <c r="K26" s="95"/>
      <c r="L26" s="96"/>
      <c r="M26" s="30"/>
      <c r="N26" s="30"/>
      <c r="O26" s="30"/>
      <c r="P26" s="97"/>
      <c r="Q26" s="30"/>
      <c r="R26" s="30"/>
      <c r="V26" s="36"/>
      <c r="W26" s="34"/>
    </row>
    <row r="27" spans="1:29" ht="15.75" x14ac:dyDescent="0.25">
      <c r="L27" s="29"/>
      <c r="V27" s="37"/>
      <c r="W27" s="34"/>
    </row>
    <row r="28" spans="1:29" ht="15.75" x14ac:dyDescent="0.25">
      <c r="G28" s="29" t="e">
        <f>#REF!*0.05</f>
        <v>#REF!</v>
      </c>
      <c r="V28" s="37"/>
      <c r="W28" s="34"/>
    </row>
    <row r="29" spans="1:29" ht="15.75" x14ac:dyDescent="0.25">
      <c r="G29" s="29" t="e">
        <f>#REF!-G28</f>
        <v>#REF!</v>
      </c>
      <c r="V29" s="37"/>
      <c r="W29" s="34"/>
    </row>
    <row r="32" spans="1:29" ht="15.75" x14ac:dyDescent="0.25">
      <c r="B32" s="35"/>
      <c r="C32" s="36"/>
      <c r="D32" s="98" t="s">
        <v>103</v>
      </c>
      <c r="E32" s="98" t="s">
        <v>105</v>
      </c>
      <c r="F32" s="98" t="s">
        <v>97</v>
      </c>
      <c r="G32" s="98" t="s">
        <v>106</v>
      </c>
      <c r="H32" s="98" t="s">
        <v>107</v>
      </c>
      <c r="I32" s="37"/>
      <c r="J32" s="37"/>
      <c r="K32" s="37"/>
      <c r="L32" s="37"/>
      <c r="M32" s="37"/>
      <c r="N32" s="37"/>
      <c r="O32" s="37"/>
      <c r="P32" s="37"/>
      <c r="Q32" s="53"/>
      <c r="R32" s="53"/>
      <c r="S32" s="53"/>
      <c r="T32" s="56"/>
      <c r="U32" s="36"/>
    </row>
    <row r="33" spans="1:40" ht="31.5" x14ac:dyDescent="0.25">
      <c r="A33">
        <v>50</v>
      </c>
      <c r="B33" s="38" t="s">
        <v>30</v>
      </c>
      <c r="C33" s="39">
        <f>TRIMMEAN(D35:H35, 0.1)</f>
        <v>0.59300000000000641</v>
      </c>
      <c r="D33" s="37">
        <f>133.4-133.1</f>
        <v>0.30000000000001137</v>
      </c>
      <c r="E33" s="37">
        <f>133.3-132.4</f>
        <v>0.90000000000000568</v>
      </c>
      <c r="F33" s="37">
        <f>133.26-132.24</f>
        <v>1.0199999999999818</v>
      </c>
      <c r="G33" s="37">
        <f>133.36-132.7</f>
        <v>0.66000000000002501</v>
      </c>
      <c r="H33" s="37">
        <f>133.3-132.77</f>
        <v>0.53000000000000114</v>
      </c>
      <c r="I33" s="37"/>
      <c r="J33" s="37"/>
      <c r="K33" s="62"/>
      <c r="L33" s="62"/>
      <c r="M33" s="37"/>
      <c r="N33" s="37"/>
      <c r="O33" s="37"/>
      <c r="P33" s="37"/>
      <c r="Q33" s="37"/>
      <c r="R33" s="58"/>
      <c r="S33" s="58"/>
      <c r="T33" s="57"/>
      <c r="U33" s="37"/>
    </row>
    <row r="34" spans="1:40" ht="15.75" x14ac:dyDescent="0.25">
      <c r="B34" s="35"/>
      <c r="C34" s="39"/>
      <c r="D34" s="100">
        <f>133.43-133.29</f>
        <v>0.14000000000001478</v>
      </c>
      <c r="E34" s="100">
        <f>133.4-133.1</f>
        <v>0.30000000000001137</v>
      </c>
      <c r="F34" s="37">
        <f>133.3-132.27</f>
        <v>1.0300000000000011</v>
      </c>
      <c r="G34" s="37">
        <f>133.25-132.6</f>
        <v>0.65000000000000568</v>
      </c>
      <c r="H34" s="37">
        <f>133.29-132.89</f>
        <v>0.40000000000000568</v>
      </c>
      <c r="I34" s="37"/>
      <c r="J34" s="37"/>
      <c r="K34" s="62"/>
      <c r="L34" s="62"/>
      <c r="M34" s="37"/>
      <c r="N34" s="37"/>
      <c r="O34" s="37"/>
      <c r="P34" s="37"/>
      <c r="Q34" s="37"/>
      <c r="R34" s="37"/>
      <c r="S34" s="37"/>
      <c r="T34" s="57"/>
      <c r="U34" s="37"/>
    </row>
    <row r="35" spans="1:40" ht="15.75" x14ac:dyDescent="0.25">
      <c r="B35" s="40"/>
      <c r="C35" s="40"/>
      <c r="D35" s="37">
        <f>(D33+D34)/2</f>
        <v>0.22000000000001307</v>
      </c>
      <c r="E35" s="37">
        <f t="shared" ref="E35:U35" si="9">(E33+E34)/2</f>
        <v>0.60000000000000853</v>
      </c>
      <c r="F35" s="37">
        <f t="shared" si="9"/>
        <v>1.0249999999999915</v>
      </c>
      <c r="G35" s="37">
        <f t="shared" si="9"/>
        <v>0.65500000000001535</v>
      </c>
      <c r="H35" s="37">
        <f t="shared" si="9"/>
        <v>0.46500000000000341</v>
      </c>
      <c r="I35" s="37">
        <f t="shared" si="9"/>
        <v>0</v>
      </c>
      <c r="J35" s="37">
        <f t="shared" si="9"/>
        <v>0</v>
      </c>
      <c r="K35" s="37">
        <f t="shared" si="9"/>
        <v>0</v>
      </c>
      <c r="L35" s="37">
        <f t="shared" si="9"/>
        <v>0</v>
      </c>
      <c r="M35" s="37">
        <f t="shared" si="9"/>
        <v>0</v>
      </c>
      <c r="N35" s="37">
        <f t="shared" si="9"/>
        <v>0</v>
      </c>
      <c r="O35" s="37">
        <f t="shared" si="9"/>
        <v>0</v>
      </c>
      <c r="P35" s="37">
        <f t="shared" si="9"/>
        <v>0</v>
      </c>
      <c r="Q35" s="37">
        <f t="shared" si="9"/>
        <v>0</v>
      </c>
      <c r="R35" s="37">
        <f t="shared" si="9"/>
        <v>0</v>
      </c>
      <c r="S35" s="37">
        <f t="shared" si="9"/>
        <v>0</v>
      </c>
      <c r="T35" s="37">
        <f t="shared" si="9"/>
        <v>0</v>
      </c>
      <c r="U35" s="37">
        <f t="shared" si="9"/>
        <v>0</v>
      </c>
    </row>
    <row r="36" spans="1:40" ht="15.75" x14ac:dyDescent="0.25">
      <c r="B36" s="40" t="s">
        <v>77</v>
      </c>
      <c r="C36" s="60">
        <f>SUM(D36:H36)</f>
        <v>40.5</v>
      </c>
      <c r="D36" s="99">
        <v>4.5</v>
      </c>
      <c r="E36" s="99">
        <v>16.510000000000002</v>
      </c>
      <c r="F36" s="99">
        <v>8.5</v>
      </c>
      <c r="G36" s="99">
        <v>6.49</v>
      </c>
      <c r="H36" s="99">
        <v>4.5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</row>
    <row r="37" spans="1:40" ht="16.5" thickBot="1" x14ac:dyDescent="0.3">
      <c r="K37" s="63"/>
      <c r="L37" s="63"/>
      <c r="M37" s="63"/>
      <c r="V37" s="49"/>
      <c r="W37" s="49"/>
      <c r="X37" s="49"/>
      <c r="Y37" s="49"/>
      <c r="Z37" s="49"/>
      <c r="AA37" s="49"/>
      <c r="AB37" s="49"/>
      <c r="AC37" s="69"/>
      <c r="AD37" s="49"/>
      <c r="AE37" s="49"/>
    </row>
    <row r="38" spans="1:40" ht="15.75" hidden="1" x14ac:dyDescent="0.25">
      <c r="B38" s="41"/>
      <c r="C38" s="42"/>
      <c r="D38" s="43" t="s">
        <v>34</v>
      </c>
      <c r="E38" s="43" t="s">
        <v>37</v>
      </c>
      <c r="F38" s="43" t="s">
        <v>38</v>
      </c>
      <c r="G38" s="43" t="s">
        <v>39</v>
      </c>
      <c r="H38" s="43" t="s">
        <v>41</v>
      </c>
      <c r="I38" s="43" t="s">
        <v>42</v>
      </c>
      <c r="J38" s="43" t="s">
        <v>43</v>
      </c>
      <c r="K38" s="43" t="s">
        <v>45</v>
      </c>
      <c r="L38" s="43" t="s">
        <v>46</v>
      </c>
      <c r="M38" s="43" t="s">
        <v>61</v>
      </c>
      <c r="N38" s="54"/>
      <c r="V38" s="70">
        <f>164.08-163.86+0.1</f>
        <v>0.31999999999999884</v>
      </c>
      <c r="W38" s="70">
        <f>164.45-162.95+0.1</f>
        <v>1.6</v>
      </c>
      <c r="X38" s="70">
        <f>164.4-163.2+0.1</f>
        <v>1.3000000000000171</v>
      </c>
      <c r="Y38" s="70">
        <f>164.2-162.74+0.1</f>
        <v>1.5599999999999796</v>
      </c>
      <c r="Z38" s="70">
        <f>164.25-163.33+0.1</f>
        <v>1.0199999999999876</v>
      </c>
      <c r="AA38" s="70">
        <f>164.05-163.15+0.1</f>
        <v>1.0000000000000058</v>
      </c>
      <c r="AB38" s="70">
        <f>164-162.99+0.1</f>
        <v>1.109999999999991</v>
      </c>
      <c r="AC38" s="70">
        <f>163.82-162.87+0.1</f>
        <v>1.0499999999999887</v>
      </c>
      <c r="AD38" s="70">
        <f>163.65-163.05+0.1</f>
        <v>0.69999999999999429</v>
      </c>
      <c r="AE38" s="70">
        <f>163.7-162.87+0.1</f>
        <v>0.92999999999998406</v>
      </c>
    </row>
    <row r="39" spans="1:40" ht="31.5" hidden="1" x14ac:dyDescent="0.25">
      <c r="A39">
        <v>63</v>
      </c>
      <c r="B39" s="44" t="s">
        <v>30</v>
      </c>
      <c r="C39" s="45">
        <f>TRIMMEAN(D41:M41, 0.1)</f>
        <v>1.1959999999999993</v>
      </c>
      <c r="D39" s="43">
        <f>164.07-162.77+0.1</f>
        <v>1.399999999999983</v>
      </c>
      <c r="E39" s="43">
        <f>164.5-163.22+0.1</f>
        <v>1.3800000000000012</v>
      </c>
      <c r="F39" s="43">
        <f>164.33-163.09+0.1</f>
        <v>1.3400000000000092</v>
      </c>
      <c r="G39" s="43">
        <f>164.34-163.33+0.1</f>
        <v>1.109999999999991</v>
      </c>
      <c r="H39" s="43">
        <f>164.33-162.65+0.1</f>
        <v>1.7800000000000069</v>
      </c>
      <c r="I39" s="43">
        <f>164.4-163.62+0.1</f>
        <v>0.88000000000000111</v>
      </c>
      <c r="J39" s="43">
        <f>164.4-163.52+0.1</f>
        <v>0.97999999999999543</v>
      </c>
      <c r="K39" s="64">
        <f>164.45-162.97+0.1</f>
        <v>1.5799999999999899</v>
      </c>
      <c r="L39" s="64">
        <f>164.5-163.58+0.1</f>
        <v>1.0199999999999876</v>
      </c>
      <c r="M39" s="64">
        <f>164.5-163.17+0.1</f>
        <v>1.4300000000000126</v>
      </c>
      <c r="N39" s="59"/>
      <c r="V39" s="70">
        <f>164.37-162.91+0.1</f>
        <v>1.560000000000008</v>
      </c>
      <c r="W39" s="70">
        <f>164.2-163.54+0.1</f>
        <v>0.75999999999999657</v>
      </c>
      <c r="X39" s="70">
        <f>164.5-163.25+0.1</f>
        <v>1.35</v>
      </c>
      <c r="Y39" s="70">
        <f>164.2-163.55+0.1</f>
        <v>0.74999999999997724</v>
      </c>
      <c r="Z39" s="70">
        <f>163.93-163.36+0.1</f>
        <v>0.66999999999999316</v>
      </c>
      <c r="AA39" s="70">
        <f>164-163.57+0.1</f>
        <v>0.5300000000000068</v>
      </c>
      <c r="AB39" s="70">
        <f>163.91-163.13+0.1</f>
        <v>0.88000000000000111</v>
      </c>
      <c r="AC39" s="70">
        <f>163.75-162.7+0.1</f>
        <v>1.1500000000000115</v>
      </c>
      <c r="AD39" s="70">
        <f>163.7-162.65+0.1</f>
        <v>1.149999999999983</v>
      </c>
      <c r="AE39" s="70">
        <f>163.85-163.2+0.1</f>
        <v>0.75000000000000566</v>
      </c>
    </row>
    <row r="40" spans="1:40" ht="15.75" hidden="1" x14ac:dyDescent="0.25">
      <c r="B40" s="41"/>
      <c r="C40" s="45"/>
      <c r="D40" s="43">
        <f>164.35-163.02+0.1</f>
        <v>1.4299999999999842</v>
      </c>
      <c r="E40" s="43">
        <f>164.33-162.94+0.1</f>
        <v>1.4900000000000149</v>
      </c>
      <c r="F40" s="43">
        <f>164.37-163.15+0.1</f>
        <v>1.319999999999999</v>
      </c>
      <c r="G40" s="43">
        <f>164.38-163.27+0.1</f>
        <v>1.2099999999999853</v>
      </c>
      <c r="H40" s="43">
        <f>164.4-163.57+0.1</f>
        <v>0.93000000000001248</v>
      </c>
      <c r="I40" s="43">
        <f>164.4-163.54+0.1</f>
        <v>0.96000000000001362</v>
      </c>
      <c r="J40" s="43">
        <f>164.56-163.72+0.1</f>
        <v>0.94000000000000339</v>
      </c>
      <c r="K40" s="64">
        <f>164.5-163.7+0.1</f>
        <v>0.90000000000001135</v>
      </c>
      <c r="L40" s="64">
        <f>164.45-163.62+0.1</f>
        <v>0.92999999999998406</v>
      </c>
      <c r="M40" s="64">
        <f>164.1-163.29+0.1</f>
        <v>0.91000000000000225</v>
      </c>
      <c r="N40" s="59"/>
      <c r="V40" s="69">
        <f t="shared" ref="E40:AN47" si="10">(V38+V39)/2</f>
        <v>0.9400000000000035</v>
      </c>
      <c r="W40" s="69">
        <f t="shared" si="10"/>
        <v>1.1799999999999984</v>
      </c>
      <c r="X40" s="69">
        <f t="shared" si="10"/>
        <v>1.3250000000000086</v>
      </c>
      <c r="Y40" s="69">
        <f t="shared" si="10"/>
        <v>1.1549999999999785</v>
      </c>
      <c r="Z40" s="69">
        <f t="shared" si="10"/>
        <v>0.84499999999999043</v>
      </c>
      <c r="AA40" s="69">
        <f t="shared" si="10"/>
        <v>0.76500000000000634</v>
      </c>
      <c r="AB40" s="69">
        <f t="shared" si="10"/>
        <v>0.99499999999999611</v>
      </c>
      <c r="AC40" s="69">
        <f t="shared" si="10"/>
        <v>1.1000000000000001</v>
      </c>
      <c r="AD40" s="69">
        <f t="shared" si="10"/>
        <v>0.92499999999998872</v>
      </c>
      <c r="AE40" s="69">
        <f t="shared" si="10"/>
        <v>0.83999999999999486</v>
      </c>
    </row>
    <row r="41" spans="1:40" ht="15.75" hidden="1" x14ac:dyDescent="0.25">
      <c r="B41" s="46"/>
      <c r="C41" s="46"/>
      <c r="D41" s="43">
        <f>(D39+D40)/2</f>
        <v>1.4149999999999836</v>
      </c>
      <c r="E41" s="43">
        <f t="shared" ref="E41:M41" si="11">(E39+E40)/2</f>
        <v>1.435000000000008</v>
      </c>
      <c r="F41" s="43">
        <f t="shared" si="11"/>
        <v>1.3300000000000041</v>
      </c>
      <c r="G41" s="43">
        <f t="shared" si="11"/>
        <v>1.1599999999999882</v>
      </c>
      <c r="H41" s="43">
        <f t="shared" si="11"/>
        <v>1.3550000000000098</v>
      </c>
      <c r="I41" s="43">
        <f t="shared" si="11"/>
        <v>0.92000000000000737</v>
      </c>
      <c r="J41" s="43">
        <f t="shared" si="11"/>
        <v>0.95999999999999941</v>
      </c>
      <c r="K41" s="43">
        <f t="shared" si="11"/>
        <v>1.2400000000000007</v>
      </c>
      <c r="L41" s="43">
        <f t="shared" si="11"/>
        <v>0.97499999999998588</v>
      </c>
      <c r="M41" s="43">
        <f t="shared" si="11"/>
        <v>1.1700000000000075</v>
      </c>
      <c r="N41" s="55"/>
      <c r="V41" s="70">
        <v>18.2</v>
      </c>
      <c r="W41" s="70">
        <v>16.46</v>
      </c>
      <c r="X41" s="70">
        <v>3.69</v>
      </c>
      <c r="Y41" s="70">
        <v>4.58</v>
      </c>
      <c r="Z41" s="70">
        <v>7.86</v>
      </c>
      <c r="AA41" s="70">
        <v>13.38</v>
      </c>
      <c r="AB41" s="70">
        <v>13.46</v>
      </c>
      <c r="AC41" s="70">
        <v>12.24</v>
      </c>
      <c r="AD41" s="70">
        <v>9.48</v>
      </c>
      <c r="AE41" s="70">
        <v>17.37</v>
      </c>
    </row>
    <row r="42" spans="1:40" ht="15.75" hidden="1" x14ac:dyDescent="0.25">
      <c r="B42" s="46" t="s">
        <v>77</v>
      </c>
      <c r="C42" s="61">
        <f>SUM(D42:M42)</f>
        <v>207.72000000000003</v>
      </c>
      <c r="D42" s="43">
        <v>41.02</v>
      </c>
      <c r="E42" s="43">
        <v>32.32</v>
      </c>
      <c r="F42" s="43">
        <v>15.13</v>
      </c>
      <c r="G42" s="43">
        <v>9.9600000000000009</v>
      </c>
      <c r="H42" s="43">
        <v>29.27</v>
      </c>
      <c r="I42" s="43">
        <v>9.0399999999999991</v>
      </c>
      <c r="J42" s="43">
        <v>13.96</v>
      </c>
      <c r="K42" s="43">
        <v>24.59</v>
      </c>
      <c r="L42" s="43">
        <v>12.55</v>
      </c>
      <c r="M42" s="43">
        <v>19.88</v>
      </c>
      <c r="N42" s="55"/>
    </row>
    <row r="43" spans="1:40" hidden="1" x14ac:dyDescent="0.25">
      <c r="K43" s="63"/>
      <c r="L43" s="63"/>
      <c r="M43" s="63"/>
    </row>
    <row r="44" spans="1:40" ht="15.75" hidden="1" x14ac:dyDescent="0.25">
      <c r="B44" s="47"/>
      <c r="C44" s="48"/>
      <c r="D44" s="49" t="s">
        <v>35</v>
      </c>
      <c r="E44" s="49" t="s">
        <v>36</v>
      </c>
      <c r="F44" s="49" t="s">
        <v>40</v>
      </c>
      <c r="G44" s="49" t="s">
        <v>44</v>
      </c>
      <c r="H44" s="49" t="s">
        <v>47</v>
      </c>
      <c r="I44" s="49" t="s">
        <v>48</v>
      </c>
      <c r="J44" s="49" t="s">
        <v>49</v>
      </c>
      <c r="K44" s="49" t="s">
        <v>50</v>
      </c>
      <c r="L44" s="49" t="s">
        <v>51</v>
      </c>
      <c r="M44" s="49" t="s">
        <v>52</v>
      </c>
      <c r="N44" s="49" t="s">
        <v>53</v>
      </c>
      <c r="O44" s="49" t="s">
        <v>54</v>
      </c>
      <c r="P44" s="49" t="s">
        <v>55</v>
      </c>
      <c r="Q44" s="49" t="s">
        <v>56</v>
      </c>
      <c r="R44" s="49" t="s">
        <v>57</v>
      </c>
      <c r="S44" s="49" t="s">
        <v>58</v>
      </c>
      <c r="T44" s="49" t="s">
        <v>59</v>
      </c>
      <c r="U44" s="49" t="s">
        <v>60</v>
      </c>
      <c r="AF44" s="49" t="s">
        <v>62</v>
      </c>
      <c r="AG44" s="49" t="s">
        <v>63</v>
      </c>
      <c r="AH44" s="49" t="s">
        <v>64</v>
      </c>
      <c r="AI44" s="49" t="s">
        <v>65</v>
      </c>
      <c r="AJ44" s="49" t="s">
        <v>66</v>
      </c>
      <c r="AK44" s="49" t="s">
        <v>67</v>
      </c>
      <c r="AL44" s="49" t="s">
        <v>68</v>
      </c>
      <c r="AM44" s="49" t="s">
        <v>69</v>
      </c>
      <c r="AN44" s="49" t="s">
        <v>70</v>
      </c>
    </row>
    <row r="45" spans="1:40" ht="31.5" hidden="1" x14ac:dyDescent="0.25">
      <c r="A45">
        <v>50</v>
      </c>
      <c r="B45" s="50" t="s">
        <v>30</v>
      </c>
      <c r="C45" s="51">
        <f>TRIMMEAN(D47:AN47, 0.1)</f>
        <v>1.0321999999999996</v>
      </c>
      <c r="D45" s="49">
        <f>164.35-162.75+0.1</f>
        <v>1.6999999999999944</v>
      </c>
      <c r="E45" s="49">
        <f>164.35-162.82+0.1</f>
        <v>1.6300000000000012</v>
      </c>
      <c r="F45" s="49">
        <f>164.38-163.05+0.1</f>
        <v>1.4299999999999842</v>
      </c>
      <c r="G45" s="49">
        <f>164.56-163.71+0.1</f>
        <v>0.94999999999999429</v>
      </c>
      <c r="H45" s="49">
        <f>164.45-163.55+0.1</f>
        <v>0.99999999999997724</v>
      </c>
      <c r="I45" s="49">
        <f>164.16-163.65+0.1</f>
        <v>0.60999999999999088</v>
      </c>
      <c r="J45" s="49">
        <f>164.5-163.57+0.1</f>
        <v>1.0300000000000069</v>
      </c>
      <c r="K45" s="67">
        <f>164.35-163.51+0.1</f>
        <v>0.94000000000000339</v>
      </c>
      <c r="L45" s="67">
        <f>164.45-163.55+0.1</f>
        <v>0.99999999999997724</v>
      </c>
      <c r="M45" s="67">
        <f>164.5-163.55+0.1</f>
        <v>1.0499999999999887</v>
      </c>
      <c r="N45" s="70">
        <f>164.33-162.69+0.1</f>
        <v>1.7400000000000149</v>
      </c>
      <c r="O45" s="70">
        <f>164.45-163.66+0.1</f>
        <v>0.88999999999999202</v>
      </c>
      <c r="P45" s="70">
        <f>164.4-162.48+0.1</f>
        <v>2.020000000000016</v>
      </c>
      <c r="Q45" s="70">
        <f>164.38-163.2+0.1</f>
        <v>1.2800000000000069</v>
      </c>
      <c r="R45" s="70">
        <f>164.35-163.55+0.1</f>
        <v>0.89999999999998292</v>
      </c>
      <c r="S45" s="70">
        <f>164.37-163.05+0.1</f>
        <v>1.4199999999999933</v>
      </c>
      <c r="T45" s="70">
        <f>164.64-164.01+0.1</f>
        <v>0.72999999999999543</v>
      </c>
      <c r="U45" s="70">
        <f>164.5-163.39+0.1</f>
        <v>1.2100000000000137</v>
      </c>
      <c r="AF45" s="70">
        <f>163.7-162.75+0.1</f>
        <v>1.0499999999999887</v>
      </c>
      <c r="AG45" s="70">
        <f>163.75-162.71+0.1</f>
        <v>1.1399999999999921</v>
      </c>
      <c r="AH45" s="70">
        <f>163.85-162.6+0.1</f>
        <v>1.35</v>
      </c>
      <c r="AI45" s="70">
        <f>163.9-163.01+0.1</f>
        <v>0.99000000000001476</v>
      </c>
      <c r="AJ45" s="70">
        <f>163.73-162.32+0.1</f>
        <v>1.5099999999999967</v>
      </c>
      <c r="AK45" s="70">
        <f>163.73-162.83+0.1</f>
        <v>0.99999999999997724</v>
      </c>
      <c r="AL45" s="70">
        <f>163.9-162.9+0.1</f>
        <v>1.1000000000000001</v>
      </c>
      <c r="AM45" s="70">
        <f>164.07-163.1+0.1</f>
        <v>1.069999999999999</v>
      </c>
      <c r="AN45" s="70">
        <f>163.9-163.67+0.1</f>
        <v>0.33000000000001817</v>
      </c>
    </row>
    <row r="46" spans="1:40" ht="15.75" hidden="1" x14ac:dyDescent="0.25">
      <c r="B46" s="47"/>
      <c r="C46" s="51"/>
      <c r="D46" s="49">
        <f>164.25-163.06+0.1</f>
        <v>1.2899999999999978</v>
      </c>
      <c r="E46" s="49">
        <f>164.15-162.9+0.1</f>
        <v>1.35</v>
      </c>
      <c r="F46" s="49">
        <f>164.1-163.33+0.1</f>
        <v>0.86999999999998179</v>
      </c>
      <c r="G46" s="49">
        <f>164.36-163.75+0.1</f>
        <v>0.71000000000001362</v>
      </c>
      <c r="H46" s="49">
        <f>164.12-163.65+0.1</f>
        <v>0.56999999999999884</v>
      </c>
      <c r="I46" s="49">
        <f>164.5-163.57+0.1</f>
        <v>1.0300000000000069</v>
      </c>
      <c r="J46" s="49">
        <f>164.16-163.63+0.1</f>
        <v>0.63000000000000111</v>
      </c>
      <c r="K46" s="67">
        <f>164.45-163.47+0.1</f>
        <v>1.0799999999999899</v>
      </c>
      <c r="L46" s="67">
        <f>164.1-163.67+0.1</f>
        <v>0.5300000000000068</v>
      </c>
      <c r="M46" s="67">
        <f>164.26-163.6+0.1</f>
        <v>0.75999999999999657</v>
      </c>
      <c r="N46" s="70">
        <f>164.16-163.55+0.1</f>
        <v>0.7099999999999852</v>
      </c>
      <c r="O46" s="70">
        <f>164.4-163.48+0.1</f>
        <v>1.020000000000016</v>
      </c>
      <c r="P46" s="70">
        <f>164.25-163.65+0.1</f>
        <v>0.69999999999999429</v>
      </c>
      <c r="Q46" s="70">
        <f>164.27-163.59+0.1</f>
        <v>0.7800000000000068</v>
      </c>
      <c r="R46" s="70">
        <f>164.37-163.29+0.1</f>
        <v>1.1800000000000126</v>
      </c>
      <c r="S46" s="70">
        <f>164.12-163.35+0.1</f>
        <v>0.87000000000001021</v>
      </c>
      <c r="T46" s="70">
        <f>164.5-163.3+0.1</f>
        <v>1.2999999999999887</v>
      </c>
      <c r="U46" s="70">
        <f>164.1-163.3+0.1</f>
        <v>0.89999999999998292</v>
      </c>
      <c r="AF46" s="70">
        <f>163.8-163.24+0.1</f>
        <v>0.66000000000000225</v>
      </c>
      <c r="AG46" s="70">
        <f>163.65-162.95+0.1</f>
        <v>0.80000000000001703</v>
      </c>
      <c r="AH46" s="70">
        <f>163.93-163.04+0.1</f>
        <v>0.99000000000001476</v>
      </c>
      <c r="AI46" s="70">
        <f>163.73-162.6+0.1</f>
        <v>1.2299999999999955</v>
      </c>
      <c r="AJ46" s="70">
        <f>163.86-162.8+0.1</f>
        <v>1.1600000000000024</v>
      </c>
      <c r="AK46" s="70">
        <f>164.12-163.38+0.1</f>
        <v>0.84000000000000907</v>
      </c>
      <c r="AL46" s="70">
        <f>163.75-162.85+0.1</f>
        <v>1.0000000000000058</v>
      </c>
      <c r="AM46" s="70">
        <f>164.15-163.35+0.1</f>
        <v>0.90000000000001135</v>
      </c>
      <c r="AN46" s="70">
        <f>164.25-163.43+0.1</f>
        <v>0.91999999999999316</v>
      </c>
    </row>
    <row r="47" spans="1:40" ht="15.75" hidden="1" x14ac:dyDescent="0.25">
      <c r="B47" s="52"/>
      <c r="C47" s="52"/>
      <c r="D47" s="49">
        <f>(D45+D46)/2</f>
        <v>1.4949999999999961</v>
      </c>
      <c r="E47" s="49">
        <f t="shared" si="10"/>
        <v>1.4900000000000007</v>
      </c>
      <c r="F47" s="49">
        <f t="shared" si="10"/>
        <v>1.149999999999983</v>
      </c>
      <c r="G47" s="49">
        <f t="shared" si="10"/>
        <v>0.83000000000000396</v>
      </c>
      <c r="H47" s="49">
        <f t="shared" si="10"/>
        <v>0.78499999999998804</v>
      </c>
      <c r="I47" s="49">
        <f t="shared" si="10"/>
        <v>0.81999999999999895</v>
      </c>
      <c r="J47" s="49">
        <f t="shared" si="10"/>
        <v>0.83000000000000407</v>
      </c>
      <c r="K47" s="49">
        <f t="shared" si="10"/>
        <v>1.0099999999999967</v>
      </c>
      <c r="L47" s="49">
        <f t="shared" si="10"/>
        <v>0.76499999999999202</v>
      </c>
      <c r="M47" s="49">
        <f t="shared" si="10"/>
        <v>0.9049999999999927</v>
      </c>
      <c r="N47" s="69">
        <f t="shared" si="10"/>
        <v>1.2250000000000001</v>
      </c>
      <c r="O47" s="69">
        <f t="shared" si="10"/>
        <v>0.95500000000000407</v>
      </c>
      <c r="P47" s="69">
        <f t="shared" si="10"/>
        <v>1.3600000000000052</v>
      </c>
      <c r="Q47" s="69">
        <f t="shared" si="10"/>
        <v>1.0300000000000069</v>
      </c>
      <c r="R47" s="69">
        <f t="shared" si="10"/>
        <v>1.0399999999999978</v>
      </c>
      <c r="S47" s="69">
        <f t="shared" si="10"/>
        <v>1.1450000000000018</v>
      </c>
      <c r="T47" s="69">
        <f t="shared" si="10"/>
        <v>1.0149999999999921</v>
      </c>
      <c r="U47" s="69">
        <f t="shared" si="10"/>
        <v>1.0549999999999984</v>
      </c>
      <c r="AF47" s="69">
        <f t="shared" si="10"/>
        <v>0.85499999999999554</v>
      </c>
      <c r="AG47" s="69">
        <f t="shared" si="10"/>
        <v>0.97000000000000464</v>
      </c>
      <c r="AH47" s="69">
        <f t="shared" si="10"/>
        <v>1.1700000000000075</v>
      </c>
      <c r="AI47" s="69">
        <f t="shared" si="10"/>
        <v>1.1100000000000052</v>
      </c>
      <c r="AJ47" s="69">
        <f t="shared" si="10"/>
        <v>1.3349999999999995</v>
      </c>
      <c r="AK47" s="69">
        <f t="shared" si="10"/>
        <v>0.91999999999999316</v>
      </c>
      <c r="AL47" s="69">
        <f t="shared" si="10"/>
        <v>1.0500000000000029</v>
      </c>
      <c r="AM47" s="69">
        <f t="shared" si="10"/>
        <v>0.9850000000000052</v>
      </c>
      <c r="AN47" s="69">
        <f t="shared" si="10"/>
        <v>0.62500000000000566</v>
      </c>
    </row>
    <row r="48" spans="1:40" hidden="1" x14ac:dyDescent="0.25">
      <c r="B48" s="52" t="s">
        <v>77</v>
      </c>
      <c r="C48" s="68">
        <f>SUM(D48:AN48)</f>
        <v>390.06</v>
      </c>
      <c r="D48" s="70">
        <v>10.039999999999999</v>
      </c>
      <c r="E48" s="70">
        <v>20.309999999999999</v>
      </c>
      <c r="F48" s="70">
        <v>12.35</v>
      </c>
      <c r="G48" s="70">
        <v>8.1199999999999992</v>
      </c>
      <c r="H48" s="70">
        <v>31.26</v>
      </c>
      <c r="I48" s="70">
        <v>15.52</v>
      </c>
      <c r="J48" s="70">
        <v>28.81</v>
      </c>
      <c r="K48" s="116">
        <v>11.21</v>
      </c>
      <c r="L48" s="116">
        <v>18.190000000000001</v>
      </c>
      <c r="M48" s="116">
        <v>5.22</v>
      </c>
      <c r="N48" s="117">
        <v>6.76</v>
      </c>
      <c r="O48" s="117">
        <v>4.2300000000000004</v>
      </c>
      <c r="P48" s="70">
        <v>22.22</v>
      </c>
      <c r="Q48" s="70">
        <v>12.18</v>
      </c>
      <c r="R48" s="70">
        <v>6.16</v>
      </c>
      <c r="S48" s="70">
        <v>27.38</v>
      </c>
      <c r="T48" s="70">
        <v>10.23</v>
      </c>
      <c r="U48" s="70">
        <v>24.06</v>
      </c>
      <c r="AF48" s="70">
        <v>16.82</v>
      </c>
      <c r="AG48" s="70">
        <v>7.31</v>
      </c>
      <c r="AH48" s="70">
        <v>14.53</v>
      </c>
      <c r="AI48" s="70">
        <v>12.72</v>
      </c>
      <c r="AJ48" s="70">
        <v>16.309999999999999</v>
      </c>
      <c r="AK48" s="70">
        <v>28.57</v>
      </c>
      <c r="AL48" s="70">
        <v>9.7200000000000006</v>
      </c>
      <c r="AM48" s="70">
        <v>5.35</v>
      </c>
      <c r="AN48" s="70">
        <v>4.4800000000000004</v>
      </c>
    </row>
    <row r="49" spans="1:15" x14ac:dyDescent="0.25">
      <c r="K49" s="118"/>
      <c r="L49" s="119"/>
      <c r="M49" s="119"/>
      <c r="N49" s="119"/>
      <c r="O49" s="120"/>
    </row>
    <row r="50" spans="1:15" x14ac:dyDescent="0.25">
      <c r="K50" s="121"/>
      <c r="L50" s="34"/>
      <c r="M50" s="34"/>
      <c r="N50" s="34"/>
      <c r="O50" s="122"/>
    </row>
    <row r="51" spans="1:15" ht="15.75" x14ac:dyDescent="0.25">
      <c r="A51" t="s">
        <v>110</v>
      </c>
      <c r="B51" s="35"/>
      <c r="C51" s="36"/>
      <c r="D51" s="98" t="s">
        <v>103</v>
      </c>
      <c r="E51" s="98"/>
      <c r="F51" s="98"/>
      <c r="G51" s="98"/>
      <c r="H51" s="98"/>
      <c r="K51" s="121"/>
      <c r="L51" s="34" t="s">
        <v>117</v>
      </c>
      <c r="M51" s="34"/>
      <c r="N51" s="34"/>
      <c r="O51" s="122"/>
    </row>
    <row r="52" spans="1:15" ht="31.5" x14ac:dyDescent="0.25">
      <c r="A52">
        <v>110</v>
      </c>
      <c r="B52" s="38" t="s">
        <v>30</v>
      </c>
      <c r="C52" s="39">
        <f>TRIMMEAN(D54, 0.1)</f>
        <v>0.83000000000000462</v>
      </c>
      <c r="D52" s="37">
        <f>133.2-133.01+0.11+0.1</f>
        <v>0.39999999999999769</v>
      </c>
      <c r="E52" s="37"/>
      <c r="F52" s="37"/>
      <c r="G52" s="37"/>
      <c r="H52" s="37"/>
      <c r="K52" s="121"/>
      <c r="L52" s="110" t="s">
        <v>113</v>
      </c>
      <c r="M52" s="111">
        <f>G25-M53</f>
        <v>23.606276399999999</v>
      </c>
      <c r="N52" s="34"/>
      <c r="O52" s="122"/>
    </row>
    <row r="53" spans="1:15" ht="15.75" x14ac:dyDescent="0.25">
      <c r="B53" s="35"/>
      <c r="C53" s="39"/>
      <c r="D53" s="37">
        <f>133.08-132.03+0.11+0.1</f>
        <v>1.2600000000000116</v>
      </c>
      <c r="E53" s="37"/>
      <c r="F53" s="37"/>
      <c r="G53" s="37"/>
      <c r="H53" s="37"/>
      <c r="K53" s="121"/>
      <c r="L53" s="112" t="s">
        <v>112</v>
      </c>
      <c r="M53" s="111">
        <f>Таблица2[[#Totals],[V, м3]]</f>
        <v>1.2424356000000001</v>
      </c>
      <c r="N53" s="34"/>
      <c r="O53" s="122"/>
    </row>
    <row r="54" spans="1:15" ht="15.75" x14ac:dyDescent="0.25">
      <c r="B54" s="40"/>
      <c r="C54" s="40"/>
      <c r="D54" s="37">
        <f>(D52+D53)/2</f>
        <v>0.83000000000000462</v>
      </c>
      <c r="E54" s="37"/>
      <c r="F54" s="37"/>
      <c r="G54" s="37"/>
      <c r="H54" s="37"/>
      <c r="K54" s="121"/>
      <c r="L54" s="112" t="s">
        <v>114</v>
      </c>
      <c r="M54" s="113">
        <f>K25</f>
        <v>3.6086400000000003</v>
      </c>
      <c r="N54" s="34"/>
      <c r="O54" s="122"/>
    </row>
    <row r="55" spans="1:15" ht="15.75" x14ac:dyDescent="0.25">
      <c r="B55" s="40" t="s">
        <v>77</v>
      </c>
      <c r="C55" s="60">
        <f>SUM(D55)</f>
        <v>5.04</v>
      </c>
      <c r="D55" s="99">
        <v>5.04</v>
      </c>
      <c r="E55" s="99"/>
      <c r="F55" s="99"/>
      <c r="G55" s="99"/>
      <c r="H55" s="99"/>
      <c r="K55" s="121"/>
      <c r="L55" s="112" t="s">
        <v>115</v>
      </c>
      <c r="M55" s="113">
        <f>N15</f>
        <v>2.9630051077499995</v>
      </c>
      <c r="N55" s="34"/>
      <c r="O55" s="122"/>
    </row>
    <row r="56" spans="1:15" x14ac:dyDescent="0.25">
      <c r="K56" s="121"/>
      <c r="L56" s="112" t="s">
        <v>116</v>
      </c>
      <c r="M56" s="113">
        <f>L25</f>
        <v>14.888927999999998</v>
      </c>
      <c r="N56" s="34"/>
      <c r="O56" s="122"/>
    </row>
    <row r="57" spans="1:15" x14ac:dyDescent="0.25">
      <c r="K57" s="121"/>
      <c r="L57" s="34"/>
      <c r="M57" s="34"/>
      <c r="N57" s="34"/>
      <c r="O57" s="122"/>
    </row>
    <row r="58" spans="1:15" x14ac:dyDescent="0.25">
      <c r="K58" s="121"/>
      <c r="L58" s="34"/>
      <c r="M58" s="34"/>
      <c r="N58" s="34"/>
      <c r="O58" s="122"/>
    </row>
    <row r="59" spans="1:15" ht="15.75" thickBot="1" x14ac:dyDescent="0.3">
      <c r="K59" s="123"/>
      <c r="L59" s="124"/>
      <c r="M59" s="124"/>
      <c r="N59" s="124"/>
      <c r="O59" s="125"/>
    </row>
  </sheetData>
  <mergeCells count="4">
    <mergeCell ref="D2:G2"/>
    <mergeCell ref="H2:K2"/>
    <mergeCell ref="D19:G19"/>
    <mergeCell ref="H19:K19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2026-05-28T10:31:12Z</dcterms:modified>
</cp:coreProperties>
</file>