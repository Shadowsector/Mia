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8_{356773B8-30B4-480B-8425-380B4D50B631}" xr6:coauthVersionLast="47" xr6:coauthVersionMax="47" xr10:uidLastSave="{00000000-0000-0000-0000-000000000000}"/>
  <bookViews>
    <workbookView xWindow="1515" yWindow="1515" windowWidth="16950" windowHeight="19170" xr2:uid="{00000000-000D-0000-FFFF-FFFF00000000}"/>
  </bookViews>
  <sheets>
    <sheet name="Таблица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9" i="1" l="1"/>
  <c r="G22" i="1" l="1"/>
  <c r="G28" i="1"/>
  <c r="G27" i="1" l="1"/>
  <c r="G26" i="1"/>
  <c r="G24" i="1"/>
  <c r="G15" i="1"/>
  <c r="G42" i="1"/>
</calcChain>
</file>

<file path=xl/sharedStrings.xml><?xml version="1.0" encoding="utf-8"?>
<sst xmlns="http://schemas.openxmlformats.org/spreadsheetml/2006/main" count="344" uniqueCount="142">
  <si>
    <t xml:space="preserve"> </t>
  </si>
  <si>
    <t>Колодцы кабельной канализации</t>
  </si>
  <si>
    <t>Колодец кабельной канализации связи с внутренними металлоконструкциями (кронштейнами и eршами), 1-го типоразмера</t>
  </si>
  <si>
    <t>110101-00339</t>
  </si>
  <si>
    <t>ЗАО "Связьстройдеталь"</t>
  </si>
  <si>
    <t>компл.</t>
  </si>
  <si>
    <t>В тротуарах, газонах</t>
  </si>
  <si>
    <t>Кольцо опорное толщиной 150мм</t>
  </si>
  <si>
    <t>КО-1.5</t>
  </si>
  <si>
    <t>110301-00002</t>
  </si>
  <si>
    <t>шт.</t>
  </si>
  <si>
    <t>Люк ГТС легкого типа</t>
  </si>
  <si>
    <t>Люк л/т ГТС</t>
  </si>
  <si>
    <t>110301-00011</t>
  </si>
  <si>
    <t>Крепления опорных колец и чугунного люка</t>
  </si>
  <si>
    <t>СНКЛ-3</t>
  </si>
  <si>
    <t>110302-00023</t>
  </si>
  <si>
    <t xml:space="preserve">Устройство запорного люка </t>
  </si>
  <si>
    <t>УЗНК-II-7п</t>
  </si>
  <si>
    <t>110712-0025Р</t>
  </si>
  <si>
    <t>Крюк для извлечения УЗНК (уп.2 шт.)</t>
  </si>
  <si>
    <t>1100712-00100</t>
  </si>
  <si>
    <t>Ключ крышки люка</t>
  </si>
  <si>
    <t>К3-7п</t>
  </si>
  <si>
    <t>110301-00767</t>
  </si>
  <si>
    <t>Консоль чугунная</t>
  </si>
  <si>
    <t>ККЧ-2</t>
  </si>
  <si>
    <t>110302-00003</t>
  </si>
  <si>
    <t>Болт консольный</t>
  </si>
  <si>
    <t>110302-00173</t>
  </si>
  <si>
    <t>Труба полиэтиленовая ГОСТ 18599, D=50 мм</t>
  </si>
  <si>
    <t>Труба ПЭ 100 SDR13,6 50х3,7</t>
  </si>
  <si>
    <t>Группа ПОЛИПЛАСТИК</t>
  </si>
  <si>
    <t>м</t>
  </si>
  <si>
    <t>Кластер ССД-Пайп OD 50 мм тройной</t>
  </si>
  <si>
    <t>Кластер тройной D=50 мм</t>
  </si>
  <si>
    <t>110611-00010</t>
  </si>
  <si>
    <t>Уплотнитель кабельных проходов УКПт-115/34 ССД</t>
  </si>
  <si>
    <t>УКПт-115/34 ССД</t>
  </si>
  <si>
    <t>120317-00425</t>
  </si>
  <si>
    <t>Пробка универсальная для труб D=50 мм</t>
  </si>
  <si>
    <t>Пробка d=42,5-44,8мм</t>
  </si>
  <si>
    <t>STC42,5</t>
  </si>
  <si>
    <t>Заглушка.ру</t>
  </si>
  <si>
    <t>Каболка канализационная(льняное волокно, пропитанное составом Е-1) d=14-16мм</t>
  </si>
  <si>
    <t>кг</t>
  </si>
  <si>
    <t>Для герметизации ввода</t>
  </si>
  <si>
    <t>Пескобетон М-300</t>
  </si>
  <si>
    <t>Кабели связи</t>
  </si>
  <si>
    <t xml:space="preserve">ДПО-нг(А)-HF-08У (1х8)-1,5 кН </t>
  </si>
  <si>
    <t>ТППэп-НДГ 30х2х0,5</t>
  </si>
  <si>
    <t>ПРППМнг(А)-HF 2x1,2</t>
  </si>
  <si>
    <t>Материалы для строительно-монтажных работ кабели связи</t>
  </si>
  <si>
    <t>Держатель с защёлкой для трубы д.32мм</t>
  </si>
  <si>
    <t>Дюбель-гвоздь 6х30</t>
  </si>
  <si>
    <t>Коробка разветвительная</t>
  </si>
  <si>
    <t>Кабельный ввод и кабелепровод в стр.12</t>
  </si>
  <si>
    <t>Ящик протяжной 800x800x300</t>
  </si>
  <si>
    <t xml:space="preserve">Анкер со шпилькой М 10 </t>
  </si>
  <si>
    <t xml:space="preserve">СМ44106 </t>
  </si>
  <si>
    <t>Хомут трубный металлический М10 (108-116) 4" с гайкой,шпилькой-шурупом и дюбелем</t>
  </si>
  <si>
    <t>Раствор В15</t>
  </si>
  <si>
    <t>0.2 м3</t>
  </si>
  <si>
    <t>Труба полиэтиленовая ГОСТ 18599, D=110 мм</t>
  </si>
  <si>
    <t>Труба ПЭ 110 SDR13,6 100х3,7</t>
  </si>
  <si>
    <t>Отвод ПНД ПЭ100 110 мм SDR13,6 90 градусов сварной 3-сегментный</t>
  </si>
  <si>
    <t>OS-01760</t>
  </si>
  <si>
    <t>4тр*2=8 шт (2 шт. на трубу)</t>
  </si>
  <si>
    <t>Стальные гильзы (Труба ГОСТ 8734-75, D=150 мм)</t>
  </si>
  <si>
    <t>0,5мx4тр+0,6мx4тр=4,4 м</t>
  </si>
  <si>
    <t>Кабель связи ВОК5.1</t>
  </si>
  <si>
    <t>Кабель радиотрансляционной сети</t>
  </si>
  <si>
    <t>Кабель телефонной аварийной связи</t>
  </si>
  <si>
    <t>КПСнг-FRHF 1х2х0,5</t>
  </si>
  <si>
    <t>от 10 строения Волхонка д.8 до 11 строения Волхонка д.8</t>
  </si>
  <si>
    <t>Кабель связи ВОК1, ВОК2</t>
  </si>
  <si>
    <t>КПСнг-FRHF 1х2х1</t>
  </si>
  <si>
    <t>КПСнг( А)-FRHF 1х2х0,5</t>
  </si>
  <si>
    <t>КПСнг(А)-FRHF 1х2х0,5</t>
  </si>
  <si>
    <t xml:space="preserve">Кабель от релейного модуля системы автоматики ВПВ </t>
  </si>
  <si>
    <t>в строении 10 до здания ДРВЦ</t>
  </si>
  <si>
    <t>Кабель от коммутационной коробки системы оповещения и управления эвакуацией людей при пожаре ХТ5.7</t>
  </si>
  <si>
    <t xml:space="preserve"> в строении 10 (пом. 010.4), до коммутационной коробки системы оповещения и управления эвакуацией людей при пожаре ХТ5.8 строения 11(пом. 111.2)</t>
  </si>
  <si>
    <t xml:space="preserve">Кабель от изолятора шлейфа системы управления и противопожарной автоматики ИЗ.1,ИЗ.2 </t>
  </si>
  <si>
    <t xml:space="preserve">Кабель от изолятора шлейфа системы автоматики пожарной сигнализации ИЗ </t>
  </si>
  <si>
    <t>Труба водогазопроводная (ВГП), _x000D_
наружный %%C114, условный %%C110 (ГОСТ 3262-75)</t>
  </si>
  <si>
    <t>от оборудования в здании Волхонка д. 12 до строения 10 здания Волхонка д.8 - 547
в 10 строении Волхонка д.8  - 20 м.п.
в 9 строении Волхонка д.8 - 15 м.п.</t>
  </si>
  <si>
    <t>от оборудования в здании Волхонка д. 12 до строения 10 здания Волхонка д.8 - 547
в 10 строении Волхонка д.8 - 20 м.п.
в 9 строении Волхонка д.8  - 20 м.п.</t>
  </si>
  <si>
    <t>Группа_x000D_ ПОЛИПЛАСТИК</t>
  </si>
  <si>
    <t>Крышка люка нижняя</t>
  </si>
  <si>
    <t>Замок навесной</t>
  </si>
  <si>
    <t>Пломба-стяжка</t>
  </si>
  <si>
    <t>ТДЦ (4 мм)</t>
  </si>
  <si>
    <t>110301-01935</t>
  </si>
  <si>
    <t>Булат</t>
  </si>
  <si>
    <t>REXANT</t>
  </si>
  <si>
    <t>ВС 3-Н65 ПЛ 5кл d9мм</t>
  </si>
  <si>
    <t>07-6111</t>
  </si>
  <si>
    <t>Номерная пломба для опечатывания</t>
  </si>
  <si>
    <t>Песок строительный средней крупности для песчанной подсыпки</t>
  </si>
  <si>
    <t>ГОСТ 8736-2014</t>
  </si>
  <si>
    <t>м³</t>
  </si>
  <si>
    <r>
      <t>Колодец ККСр-1</t>
    </r>
    <r>
      <rPr>
        <b/>
        <sz val="11"/>
        <color theme="1"/>
        <rFont val="Calibri"/>
        <family val="2"/>
        <charset val="204"/>
        <scheme val="minor"/>
      </rPr>
      <t>М</t>
    </r>
    <r>
      <rPr>
        <sz val="11"/>
        <color theme="1"/>
        <rFont val="Calibri"/>
        <family val="2"/>
        <charset val="204"/>
        <scheme val="minor"/>
      </rPr>
      <t>-10(80) ГЕК-ССД (В25) в битумно-латексной гидроизоляции</t>
    </r>
  </si>
  <si>
    <t>было 120 п.м</t>
  </si>
  <si>
    <t>было 3 шт.</t>
  </si>
  <si>
    <t>было 2,47 м³</t>
  </si>
  <si>
    <r>
      <t xml:space="preserve">в строении 10 (пом. 010.4)до изолятора шлейфа системы управления и противопожарной автоматики ИЗ.3,ИЗ.4 строения 11 (пом. 111.2). 
</t>
    </r>
    <r>
      <rPr>
        <b/>
        <sz val="11"/>
        <color theme="1"/>
        <rFont val="Calibri"/>
        <family val="2"/>
        <charset val="204"/>
        <scheme val="minor"/>
      </rPr>
      <t>2 кабеля по 25 м</t>
    </r>
  </si>
  <si>
    <r>
      <t xml:space="preserve">в строении 10 (пом. 010.4)до изолятора шлейфа системы автоматики пожарной сигнализации ИЗ строения 11 (пом. 111.2). 
</t>
    </r>
    <r>
      <rPr>
        <b/>
        <sz val="11"/>
        <color theme="1"/>
        <rFont val="Calibri"/>
        <family val="2"/>
        <charset val="204"/>
        <scheme val="minor"/>
      </rPr>
      <t>2 кабеля по 25 м</t>
    </r>
  </si>
  <si>
    <r>
      <t xml:space="preserve">от оборудования в здании Волхонка д. 12 до строения 10 здания Волхонка д.8
</t>
    </r>
    <r>
      <rPr>
        <b/>
        <sz val="11"/>
        <color theme="1"/>
        <rFont val="Calibri"/>
        <family val="2"/>
        <charset val="204"/>
        <scheme val="minor"/>
      </rPr>
      <t>2 кабеля по 547 м</t>
    </r>
  </si>
  <si>
    <t>Трубы и фитинги кабельной канализации от здания ДРВЦ до здания Волхонка д.8 стр. 7-11</t>
  </si>
  <si>
    <t>Материалы для строительно-монтажных работ кабельной канализации  от здания ДРВЦ до здания Волхонка д.8 стр. 7-11</t>
  </si>
  <si>
    <t>Труба гофр. ПВХ д.32мм с зондом по зданию ДРВЦ</t>
  </si>
  <si>
    <t>Труба гофр. ПВХ д.32мм с зондом по коллектору</t>
  </si>
  <si>
    <t>Металличекая труба 32 по Волхонка д. 8</t>
  </si>
  <si>
    <t>было 25 шт.</t>
  </si>
  <si>
    <t>было 2000 м</t>
  </si>
  <si>
    <t>было 1900 м</t>
  </si>
  <si>
    <t>РЕНОВИР Шлюз (штраба в зоне "стенка отверстия-ввод")</t>
  </si>
  <si>
    <t xml:space="preserve">Пакер инъекционный стальной 10/100 </t>
  </si>
  <si>
    <t>Реновир ГидроСмола 2К (иньекции в стену)</t>
  </si>
  <si>
    <t>Реновир Шлюз (зачеканка шпуров)</t>
  </si>
  <si>
    <t>Реновир Эласт (обмазочная гидроизоляция в 2 слоя по 1.5 мм)</t>
  </si>
  <si>
    <t>6 кг/1 ввод</t>
  </si>
  <si>
    <t>8 шт/ввод</t>
  </si>
  <si>
    <t>20 кг/1 ввод</t>
  </si>
  <si>
    <t>0,25 кг/1 ввод</t>
  </si>
  <si>
    <t>5,1 кг/м кв.</t>
  </si>
  <si>
    <t>Материалы для строительно-монтажных работ кабельной канализации  от здания Волхонка д.12 до здания ДРВЦ (8 вводов)</t>
  </si>
  <si>
    <t>6м*4тр=24 м</t>
  </si>
  <si>
    <t>5мx4тр+0,6мx2x4тр=48,8 м</t>
  </si>
  <si>
    <t>Кабельный ввод и кабелепровод от здания ДРВЦ до камеры коллектора №11</t>
  </si>
  <si>
    <t>ВССК 20/30 120317-00006 ССД</t>
  </si>
  <si>
    <t>Муфта компрессионная соединительная</t>
  </si>
  <si>
    <t>Муфта соединительная</t>
  </si>
  <si>
    <t>КВТ 3ПСТ(б) 1-2,5 кв.</t>
  </si>
  <si>
    <t>для кабеля телефонной аварийной связи</t>
  </si>
  <si>
    <t>для кабеля радиотрансляционной сети</t>
  </si>
  <si>
    <t>Труба полиэтиленовая ГОСТ 18599, D=110 мм/Двустенная труба ПНД гибкая для кабельной канализации д.110мм с протяжкой</t>
  </si>
  <si>
    <t>Группа_x000D_ ПОЛИПЛАСТИК/DKC</t>
  </si>
  <si>
    <t xml:space="preserve"> -/121911</t>
  </si>
  <si>
    <t>Труба ПЭ 110 SDR13,6 100х3,7/-</t>
  </si>
  <si>
    <t>Эти материалы есть в тех счетах, что я приложил. Эта часть работ выполнена.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</si>
</sst>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trike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0" fillId="33" borderId="10" xfId="0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left" vertical="center" wrapText="1"/>
    </xf>
    <xf numFmtId="0" fontId="0" fillId="34" borderId="10" xfId="0" applyFill="1" applyBorder="1" applyAlignment="1">
      <alignment horizontal="left" vertical="center" wrapText="1"/>
    </xf>
    <xf numFmtId="0" fontId="18" fillId="0" borderId="10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horizontal="left" vertical="center" wrapText="1"/>
    </xf>
    <xf numFmtId="49" fontId="0" fillId="0" borderId="10" xfId="0" applyNumberFormat="1" applyFont="1" applyFill="1" applyBorder="1" applyAlignment="1">
      <alignment horizontal="left" vertical="center" wrapText="1"/>
    </xf>
    <xf numFmtId="0" fontId="0" fillId="33" borderId="10" xfId="0" applyFont="1" applyFill="1" applyBorder="1" applyAlignment="1">
      <alignment horizontal="left" vertical="center" wrapText="1"/>
    </xf>
    <xf numFmtId="0" fontId="0" fillId="33" borderId="11" xfId="0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0" fontId="0" fillId="33" borderId="12" xfId="0" applyFill="1" applyBorder="1" applyAlignment="1">
      <alignment horizontal="left" vertical="center" wrapText="1"/>
    </xf>
    <xf numFmtId="0" fontId="19" fillId="33" borderId="12" xfId="0" applyFont="1" applyFill="1" applyBorder="1" applyAlignment="1">
      <alignment horizontal="left" vertical="center" wrapText="1"/>
    </xf>
    <xf numFmtId="0" fontId="0" fillId="33" borderId="13" xfId="0" applyFill="1" applyBorder="1" applyAlignment="1">
      <alignment horizontal="left" vertical="center" wrapText="1"/>
    </xf>
    <xf numFmtId="0" fontId="0" fillId="33" borderId="14" xfId="0" applyFill="1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33" borderId="16" xfId="0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0" fillId="33" borderId="18" xfId="0" applyFill="1" applyBorder="1" applyAlignment="1">
      <alignment horizontal="left" vertical="center" wrapText="1"/>
    </xf>
    <xf numFmtId="0" fontId="0" fillId="33" borderId="19" xfId="0" applyFill="1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7"/>
  <sheetViews>
    <sheetView tabSelected="1" topLeftCell="A31" workbookViewId="0">
      <selection activeCell="J42" sqref="J42:J47"/>
    </sheetView>
  </sheetViews>
  <sheetFormatPr defaultRowHeight="15" x14ac:dyDescent="0.25"/>
  <cols>
    <col min="1" max="1" width="9.140625" style="1"/>
    <col min="2" max="2" width="49.7109375" style="1" customWidth="1"/>
    <col min="3" max="3" width="37.7109375" style="1" customWidth="1"/>
    <col min="4" max="4" width="19" style="1" customWidth="1"/>
    <col min="5" max="5" width="25.28515625" style="1" customWidth="1"/>
    <col min="6" max="6" width="18" style="1" customWidth="1"/>
    <col min="7" max="7" width="12.7109375" style="1" customWidth="1"/>
    <col min="8" max="8" width="9.140625" style="1"/>
    <col min="9" max="9" width="62.85546875" style="1" customWidth="1"/>
    <col min="10" max="10" width="55.5703125" style="1" customWidth="1"/>
    <col min="11" max="16384" width="9.140625" style="1"/>
  </cols>
  <sheetData>
    <row r="1" spans="1:9" x14ac:dyDescent="0.25">
      <c r="A1" s="2" t="s">
        <v>0</v>
      </c>
      <c r="B1" s="4" t="s">
        <v>1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9" ht="81" customHeight="1" x14ac:dyDescent="0.25">
      <c r="A2" s="2">
        <v>1</v>
      </c>
      <c r="B2" s="2" t="s">
        <v>2</v>
      </c>
      <c r="C2" s="2" t="s">
        <v>102</v>
      </c>
      <c r="D2" s="2" t="s">
        <v>3</v>
      </c>
      <c r="E2" s="2" t="s">
        <v>4</v>
      </c>
      <c r="F2" s="2" t="s">
        <v>5</v>
      </c>
      <c r="G2" s="2">
        <v>3</v>
      </c>
      <c r="H2" s="2" t="s">
        <v>0</v>
      </c>
      <c r="I2" s="2" t="s">
        <v>6</v>
      </c>
    </row>
    <row r="3" spans="1:9" x14ac:dyDescent="0.25">
      <c r="A3" s="2">
        <v>2</v>
      </c>
      <c r="B3" s="2" t="s">
        <v>7</v>
      </c>
      <c r="C3" s="2" t="s">
        <v>8</v>
      </c>
      <c r="D3" s="2" t="s">
        <v>9</v>
      </c>
      <c r="E3" s="2" t="s">
        <v>4</v>
      </c>
      <c r="F3" s="2" t="s">
        <v>10</v>
      </c>
      <c r="G3" s="2">
        <v>6</v>
      </c>
      <c r="H3" s="2" t="s">
        <v>0</v>
      </c>
      <c r="I3" s="2" t="s">
        <v>0</v>
      </c>
    </row>
    <row r="4" spans="1:9" x14ac:dyDescent="0.25">
      <c r="A4" s="2">
        <v>3</v>
      </c>
      <c r="B4" s="2" t="s">
        <v>11</v>
      </c>
      <c r="C4" s="2" t="s">
        <v>12</v>
      </c>
      <c r="D4" s="2" t="s">
        <v>13</v>
      </c>
      <c r="E4" s="2" t="s">
        <v>4</v>
      </c>
      <c r="F4" s="2" t="s">
        <v>10</v>
      </c>
      <c r="G4" s="2">
        <v>3</v>
      </c>
      <c r="H4" s="2" t="s">
        <v>0</v>
      </c>
      <c r="I4" s="2" t="s">
        <v>0</v>
      </c>
    </row>
    <row r="5" spans="1:9" x14ac:dyDescent="0.25">
      <c r="A5" s="2">
        <v>4</v>
      </c>
      <c r="B5" s="2" t="s">
        <v>14</v>
      </c>
      <c r="C5" s="2" t="s">
        <v>15</v>
      </c>
      <c r="D5" s="2" t="s">
        <v>16</v>
      </c>
      <c r="E5" s="2" t="s">
        <v>4</v>
      </c>
      <c r="F5" s="2" t="s">
        <v>10</v>
      </c>
      <c r="G5" s="2">
        <v>3</v>
      </c>
      <c r="H5" s="2" t="s">
        <v>0</v>
      </c>
      <c r="I5" s="2" t="s">
        <v>0</v>
      </c>
    </row>
    <row r="6" spans="1:9" x14ac:dyDescent="0.25">
      <c r="A6" s="2">
        <v>5</v>
      </c>
      <c r="B6" s="9" t="s">
        <v>89</v>
      </c>
      <c r="C6" s="9" t="s">
        <v>92</v>
      </c>
      <c r="D6" s="9" t="s">
        <v>93</v>
      </c>
      <c r="E6" s="9" t="s">
        <v>4</v>
      </c>
      <c r="F6" s="9" t="s">
        <v>10</v>
      </c>
      <c r="G6" s="9">
        <v>3</v>
      </c>
      <c r="H6" s="8"/>
      <c r="I6" s="8"/>
    </row>
    <row r="7" spans="1:9" ht="30" x14ac:dyDescent="0.25">
      <c r="A7" s="2">
        <v>6</v>
      </c>
      <c r="B7" s="9" t="s">
        <v>90</v>
      </c>
      <c r="C7" s="9"/>
      <c r="D7" s="9" t="s">
        <v>96</v>
      </c>
      <c r="E7" s="9" t="s">
        <v>94</v>
      </c>
      <c r="F7" s="9" t="s">
        <v>10</v>
      </c>
      <c r="G7" s="9">
        <v>3</v>
      </c>
      <c r="H7" s="8"/>
      <c r="I7" s="8"/>
    </row>
    <row r="8" spans="1:9" x14ac:dyDescent="0.25">
      <c r="A8" s="2">
        <v>7</v>
      </c>
      <c r="B8" s="9" t="s">
        <v>91</v>
      </c>
      <c r="C8" s="9" t="s">
        <v>98</v>
      </c>
      <c r="D8" s="10" t="s">
        <v>97</v>
      </c>
      <c r="E8" s="9" t="s">
        <v>95</v>
      </c>
      <c r="F8" s="9" t="s">
        <v>10</v>
      </c>
      <c r="G8" s="9">
        <v>15</v>
      </c>
      <c r="H8" s="8"/>
      <c r="I8" s="8"/>
    </row>
    <row r="9" spans="1:9" x14ac:dyDescent="0.25">
      <c r="A9" s="2">
        <v>8</v>
      </c>
      <c r="B9" s="2" t="s">
        <v>17</v>
      </c>
      <c r="C9" s="2" t="s">
        <v>18</v>
      </c>
      <c r="D9" s="2" t="s">
        <v>19</v>
      </c>
      <c r="E9" s="2" t="s">
        <v>4</v>
      </c>
      <c r="F9" s="2" t="s">
        <v>10</v>
      </c>
      <c r="G9" s="2">
        <v>3</v>
      </c>
      <c r="H9" s="2" t="s">
        <v>0</v>
      </c>
      <c r="I9" s="2" t="s">
        <v>0</v>
      </c>
    </row>
    <row r="10" spans="1:9" x14ac:dyDescent="0.25">
      <c r="A10" s="2">
        <v>9</v>
      </c>
      <c r="B10" s="2" t="s">
        <v>20</v>
      </c>
      <c r="C10" s="2" t="s">
        <v>0</v>
      </c>
      <c r="D10" s="2" t="s">
        <v>21</v>
      </c>
      <c r="E10" s="2" t="s">
        <v>4</v>
      </c>
      <c r="F10" s="2" t="s">
        <v>10</v>
      </c>
      <c r="G10" s="2">
        <v>1</v>
      </c>
      <c r="H10" s="2" t="s">
        <v>0</v>
      </c>
      <c r="I10" s="2" t="s">
        <v>0</v>
      </c>
    </row>
    <row r="11" spans="1:9" x14ac:dyDescent="0.25">
      <c r="A11" s="2">
        <v>10</v>
      </c>
      <c r="B11" s="2" t="s">
        <v>22</v>
      </c>
      <c r="C11" s="2" t="s">
        <v>23</v>
      </c>
      <c r="D11" s="2" t="s">
        <v>24</v>
      </c>
      <c r="E11" s="2" t="s">
        <v>4</v>
      </c>
      <c r="F11" s="2" t="s">
        <v>10</v>
      </c>
      <c r="G11" s="2">
        <v>1</v>
      </c>
      <c r="H11" s="2" t="s">
        <v>0</v>
      </c>
      <c r="I11" s="2" t="s">
        <v>0</v>
      </c>
    </row>
    <row r="12" spans="1:9" x14ac:dyDescent="0.25">
      <c r="A12" s="2">
        <v>11</v>
      </c>
      <c r="B12" s="2" t="s">
        <v>25</v>
      </c>
      <c r="C12" s="2" t="s">
        <v>26</v>
      </c>
      <c r="D12" s="2" t="s">
        <v>27</v>
      </c>
      <c r="E12" s="2" t="s">
        <v>4</v>
      </c>
      <c r="F12" s="2" t="s">
        <v>10</v>
      </c>
      <c r="G12" s="3">
        <v>12</v>
      </c>
      <c r="H12" s="2" t="s">
        <v>0</v>
      </c>
      <c r="I12" s="2" t="s">
        <v>0</v>
      </c>
    </row>
    <row r="13" spans="1:9" x14ac:dyDescent="0.25">
      <c r="A13" s="2">
        <v>12</v>
      </c>
      <c r="B13" s="2" t="s">
        <v>28</v>
      </c>
      <c r="C13" s="2" t="s">
        <v>0</v>
      </c>
      <c r="D13" s="2" t="s">
        <v>29</v>
      </c>
      <c r="E13" s="2" t="s">
        <v>4</v>
      </c>
      <c r="F13" s="2" t="s">
        <v>10</v>
      </c>
      <c r="G13" s="3">
        <v>12</v>
      </c>
      <c r="H13" s="2" t="s">
        <v>0</v>
      </c>
      <c r="I13" s="2" t="s">
        <v>0</v>
      </c>
    </row>
    <row r="14" spans="1:9" ht="30" x14ac:dyDescent="0.25">
      <c r="A14" s="2" t="s">
        <v>0</v>
      </c>
      <c r="B14" s="4" t="s">
        <v>109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</row>
    <row r="15" spans="1:9" x14ac:dyDescent="0.25">
      <c r="A15" s="2">
        <v>1</v>
      </c>
      <c r="B15" s="2" t="s">
        <v>30</v>
      </c>
      <c r="C15" s="2" t="s">
        <v>31</v>
      </c>
      <c r="D15" s="2">
        <v>111101050300</v>
      </c>
      <c r="E15" s="2" t="s">
        <v>32</v>
      </c>
      <c r="F15" s="2" t="s">
        <v>33</v>
      </c>
      <c r="G15" s="7">
        <f>3*4.5+3*16.5+4*4.5+4*8.5+4*6.5</f>
        <v>141</v>
      </c>
      <c r="H15" s="2" t="s">
        <v>0</v>
      </c>
      <c r="I15" s="2" t="s">
        <v>103</v>
      </c>
    </row>
    <row r="16" spans="1:9" x14ac:dyDescent="0.25">
      <c r="A16" s="2">
        <v>2</v>
      </c>
      <c r="B16" s="2" t="s">
        <v>34</v>
      </c>
      <c r="C16" s="2" t="s">
        <v>35</v>
      </c>
      <c r="D16" s="2" t="s">
        <v>36</v>
      </c>
      <c r="E16" s="2" t="s">
        <v>4</v>
      </c>
      <c r="F16" s="2" t="s">
        <v>10</v>
      </c>
      <c r="G16" s="3">
        <v>30</v>
      </c>
      <c r="H16" s="2" t="s">
        <v>0</v>
      </c>
      <c r="I16" s="2" t="s">
        <v>0</v>
      </c>
    </row>
    <row r="17" spans="1:9" x14ac:dyDescent="0.25">
      <c r="A17" s="2">
        <v>3</v>
      </c>
      <c r="B17" s="2" t="s">
        <v>37</v>
      </c>
      <c r="C17" s="2" t="s">
        <v>38</v>
      </c>
      <c r="D17" s="2" t="s">
        <v>39</v>
      </c>
      <c r="E17" s="2" t="s">
        <v>4</v>
      </c>
      <c r="F17" s="2" t="s">
        <v>10</v>
      </c>
      <c r="G17" s="7">
        <v>30</v>
      </c>
      <c r="H17" s="2" t="s">
        <v>0</v>
      </c>
      <c r="I17" s="2" t="s">
        <v>104</v>
      </c>
    </row>
    <row r="18" spans="1:9" x14ac:dyDescent="0.25">
      <c r="A18" s="2">
        <v>4</v>
      </c>
      <c r="B18" s="2" t="s">
        <v>40</v>
      </c>
      <c r="C18" s="2" t="s">
        <v>41</v>
      </c>
      <c r="D18" s="2" t="s">
        <v>42</v>
      </c>
      <c r="E18" s="2" t="s">
        <v>43</v>
      </c>
      <c r="F18" s="2" t="s">
        <v>10</v>
      </c>
      <c r="G18" s="2">
        <v>21</v>
      </c>
      <c r="H18" s="2" t="s">
        <v>0</v>
      </c>
      <c r="I18" s="2" t="s">
        <v>0</v>
      </c>
    </row>
    <row r="19" spans="1:9" ht="45" x14ac:dyDescent="0.25">
      <c r="A19" s="2" t="s">
        <v>0</v>
      </c>
      <c r="B19" s="4" t="s">
        <v>110</v>
      </c>
      <c r="C19" s="2" t="s">
        <v>0</v>
      </c>
      <c r="D19" s="2" t="s">
        <v>0</v>
      </c>
      <c r="E19" s="2" t="s">
        <v>0</v>
      </c>
      <c r="F19" s="2" t="s">
        <v>33</v>
      </c>
      <c r="G19" s="2" t="s">
        <v>0</v>
      </c>
      <c r="H19" s="2" t="s">
        <v>0</v>
      </c>
      <c r="I19" s="2" t="s">
        <v>0</v>
      </c>
    </row>
    <row r="20" spans="1:9" ht="30" x14ac:dyDescent="0.25">
      <c r="A20" s="2">
        <v>1</v>
      </c>
      <c r="B20" s="2" t="s">
        <v>44</v>
      </c>
      <c r="C20" s="2" t="s">
        <v>0</v>
      </c>
      <c r="D20" s="2" t="s">
        <v>0</v>
      </c>
      <c r="E20" s="2" t="s">
        <v>0</v>
      </c>
      <c r="F20" s="2" t="s">
        <v>45</v>
      </c>
      <c r="G20" s="2">
        <v>42</v>
      </c>
      <c r="H20" s="2" t="s">
        <v>0</v>
      </c>
      <c r="I20" s="2" t="s">
        <v>46</v>
      </c>
    </row>
    <row r="21" spans="1:9" x14ac:dyDescent="0.25">
      <c r="A21" s="2">
        <v>2</v>
      </c>
      <c r="B21" s="2" t="s">
        <v>47</v>
      </c>
      <c r="C21" s="2" t="s">
        <v>0</v>
      </c>
      <c r="D21" s="2" t="s">
        <v>0</v>
      </c>
      <c r="E21" s="2" t="s">
        <v>0</v>
      </c>
      <c r="F21" s="2" t="s">
        <v>45</v>
      </c>
      <c r="G21" s="2">
        <v>42</v>
      </c>
      <c r="H21" s="2" t="s">
        <v>0</v>
      </c>
      <c r="I21" s="2" t="s">
        <v>0</v>
      </c>
    </row>
    <row r="22" spans="1:9" ht="30" x14ac:dyDescent="0.25">
      <c r="A22" s="9">
        <v>3</v>
      </c>
      <c r="B22" s="9" t="s">
        <v>99</v>
      </c>
      <c r="C22" s="9"/>
      <c r="D22" s="9" t="s">
        <v>100</v>
      </c>
      <c r="E22" s="9"/>
      <c r="F22" s="9" t="s">
        <v>101</v>
      </c>
      <c r="G22" s="9">
        <f>1*6*0.6+1*10*1</f>
        <v>13.6</v>
      </c>
      <c r="H22" s="9"/>
      <c r="I22" s="9" t="s">
        <v>105</v>
      </c>
    </row>
    <row r="23" spans="1:9" x14ac:dyDescent="0.25">
      <c r="A23" s="2" t="s">
        <v>0</v>
      </c>
      <c r="B23" s="4" t="s">
        <v>48</v>
      </c>
      <c r="C23" s="2" t="s">
        <v>0</v>
      </c>
      <c r="D23" s="2" t="s">
        <v>0</v>
      </c>
      <c r="E23" s="2" t="s">
        <v>0</v>
      </c>
      <c r="F23" s="2"/>
      <c r="G23" s="2" t="s">
        <v>0</v>
      </c>
      <c r="H23" s="2" t="s">
        <v>0</v>
      </c>
      <c r="I23" s="2" t="s">
        <v>0</v>
      </c>
    </row>
    <row r="24" spans="1:9" ht="45" x14ac:dyDescent="0.25">
      <c r="A24" s="5">
        <v>1</v>
      </c>
      <c r="B24" s="5" t="s">
        <v>75</v>
      </c>
      <c r="C24" s="5" t="s">
        <v>49</v>
      </c>
      <c r="D24" s="5" t="s">
        <v>0</v>
      </c>
      <c r="E24" s="5" t="s">
        <v>0</v>
      </c>
      <c r="F24" s="5" t="s">
        <v>33</v>
      </c>
      <c r="G24" s="5">
        <f>(110+270+127+40)*2</f>
        <v>1094</v>
      </c>
      <c r="H24" s="5" t="s">
        <v>0</v>
      </c>
      <c r="I24" s="5" t="s">
        <v>108</v>
      </c>
    </row>
    <row r="25" spans="1:9" x14ac:dyDescent="0.25">
      <c r="A25" s="5">
        <v>6</v>
      </c>
      <c r="B25" s="5" t="s">
        <v>70</v>
      </c>
      <c r="C25" s="5" t="s">
        <v>49</v>
      </c>
      <c r="D25" s="5"/>
      <c r="E25" s="5"/>
      <c r="F25" s="5" t="s">
        <v>33</v>
      </c>
      <c r="G25" s="5">
        <v>25</v>
      </c>
      <c r="H25" s="5"/>
      <c r="I25" s="5" t="s">
        <v>74</v>
      </c>
    </row>
    <row r="26" spans="1:9" ht="60" x14ac:dyDescent="0.25">
      <c r="A26" s="5">
        <v>7</v>
      </c>
      <c r="B26" s="5" t="s">
        <v>71</v>
      </c>
      <c r="C26" s="5" t="s">
        <v>51</v>
      </c>
      <c r="D26" s="5"/>
      <c r="E26" s="5"/>
      <c r="F26" s="5" t="s">
        <v>33</v>
      </c>
      <c r="G26" s="5">
        <f>547+20+15</f>
        <v>582</v>
      </c>
      <c r="H26" s="5"/>
      <c r="I26" s="5" t="s">
        <v>86</v>
      </c>
    </row>
    <row r="27" spans="1:9" ht="60" x14ac:dyDescent="0.25">
      <c r="A27" s="5">
        <v>8</v>
      </c>
      <c r="B27" s="5" t="s">
        <v>72</v>
      </c>
      <c r="C27" s="5" t="s">
        <v>50</v>
      </c>
      <c r="D27" s="5"/>
      <c r="E27" s="5"/>
      <c r="F27" s="5" t="s">
        <v>33</v>
      </c>
      <c r="G27" s="5">
        <f>547+20+20</f>
        <v>587</v>
      </c>
      <c r="H27" s="5"/>
      <c r="I27" s="5" t="s">
        <v>87</v>
      </c>
    </row>
    <row r="28" spans="1:9" ht="30" x14ac:dyDescent="0.25">
      <c r="A28" s="5">
        <v>9</v>
      </c>
      <c r="B28" s="5" t="s">
        <v>79</v>
      </c>
      <c r="C28" s="5" t="s">
        <v>73</v>
      </c>
      <c r="D28" s="5"/>
      <c r="E28" s="5"/>
      <c r="F28" s="5" t="s">
        <v>33</v>
      </c>
      <c r="G28" s="5">
        <f>G29+127+40</f>
        <v>192</v>
      </c>
      <c r="H28" s="5"/>
      <c r="I28" s="5" t="s">
        <v>80</v>
      </c>
    </row>
    <row r="29" spans="1:9" ht="45" x14ac:dyDescent="0.25">
      <c r="A29" s="5">
        <v>10</v>
      </c>
      <c r="B29" s="5" t="s">
        <v>81</v>
      </c>
      <c r="C29" s="5" t="s">
        <v>76</v>
      </c>
      <c r="D29" s="5"/>
      <c r="E29" s="5"/>
      <c r="F29" s="5" t="s">
        <v>33</v>
      </c>
      <c r="G29" s="5">
        <v>25</v>
      </c>
      <c r="H29" s="5"/>
      <c r="I29" s="5" t="s">
        <v>82</v>
      </c>
    </row>
    <row r="30" spans="1:9" ht="60" x14ac:dyDescent="0.25">
      <c r="A30" s="5">
        <v>11</v>
      </c>
      <c r="B30" s="5" t="s">
        <v>83</v>
      </c>
      <c r="C30" s="5" t="s">
        <v>77</v>
      </c>
      <c r="D30" s="5"/>
      <c r="E30" s="5"/>
      <c r="F30" s="5" t="s">
        <v>33</v>
      </c>
      <c r="G30" s="5">
        <v>50</v>
      </c>
      <c r="H30" s="5"/>
      <c r="I30" s="5" t="s">
        <v>106</v>
      </c>
    </row>
    <row r="31" spans="1:9" ht="45" x14ac:dyDescent="0.25">
      <c r="A31" s="5">
        <v>12</v>
      </c>
      <c r="B31" s="5" t="s">
        <v>84</v>
      </c>
      <c r="C31" s="5" t="s">
        <v>78</v>
      </c>
      <c r="D31" s="5"/>
      <c r="E31" s="5"/>
      <c r="F31" s="5" t="s">
        <v>33</v>
      </c>
      <c r="G31" s="5">
        <v>50</v>
      </c>
      <c r="H31" s="5"/>
      <c r="I31" s="5" t="s">
        <v>107</v>
      </c>
    </row>
    <row r="32" spans="1:9" x14ac:dyDescent="0.25">
      <c r="A32" s="5">
        <v>13</v>
      </c>
      <c r="B32" s="5" t="s">
        <v>132</v>
      </c>
      <c r="C32" s="5" t="s">
        <v>131</v>
      </c>
      <c r="D32" s="5"/>
      <c r="E32" s="5"/>
      <c r="F32" s="5" t="s">
        <v>10</v>
      </c>
      <c r="G32" s="5">
        <v>6</v>
      </c>
      <c r="H32" s="5"/>
      <c r="I32" s="5" t="s">
        <v>135</v>
      </c>
    </row>
    <row r="33" spans="1:10" x14ac:dyDescent="0.25">
      <c r="A33" s="5">
        <v>14</v>
      </c>
      <c r="B33" s="5" t="s">
        <v>133</v>
      </c>
      <c r="C33" s="5" t="s">
        <v>134</v>
      </c>
      <c r="D33" s="5"/>
      <c r="E33" s="5"/>
      <c r="F33" s="5" t="s">
        <v>10</v>
      </c>
      <c r="G33" s="5">
        <v>6</v>
      </c>
      <c r="H33" s="5"/>
      <c r="I33" s="5" t="s">
        <v>136</v>
      </c>
    </row>
    <row r="34" spans="1:10" ht="30" x14ac:dyDescent="0.25">
      <c r="A34" s="2" t="s">
        <v>0</v>
      </c>
      <c r="B34" s="4" t="s">
        <v>52</v>
      </c>
      <c r="C34" s="2" t="s">
        <v>0</v>
      </c>
      <c r="D34" s="2" t="s">
        <v>0</v>
      </c>
      <c r="E34" s="2" t="s">
        <v>0</v>
      </c>
      <c r="F34" s="2"/>
      <c r="G34" s="2" t="s">
        <v>0</v>
      </c>
      <c r="H34" s="2" t="s">
        <v>0</v>
      </c>
      <c r="I34" s="2" t="s">
        <v>0</v>
      </c>
    </row>
    <row r="35" spans="1:10" x14ac:dyDescent="0.25">
      <c r="A35" s="5">
        <v>1</v>
      </c>
      <c r="B35" s="11" t="s">
        <v>113</v>
      </c>
      <c r="C35" s="5"/>
      <c r="D35" s="5"/>
      <c r="E35" s="5"/>
      <c r="F35" s="5" t="s">
        <v>33</v>
      </c>
      <c r="G35" s="5">
        <v>165</v>
      </c>
      <c r="H35" s="5"/>
      <c r="I35" s="5"/>
    </row>
    <row r="36" spans="1:10" x14ac:dyDescent="0.25">
      <c r="A36" s="5">
        <v>2</v>
      </c>
      <c r="B36" s="11" t="s">
        <v>112</v>
      </c>
      <c r="C36" s="5"/>
      <c r="D36" s="5"/>
      <c r="E36" s="5"/>
      <c r="F36" s="5" t="s">
        <v>33</v>
      </c>
      <c r="G36" s="5">
        <v>900</v>
      </c>
      <c r="H36" s="5"/>
      <c r="I36" s="5"/>
    </row>
    <row r="37" spans="1:10" x14ac:dyDescent="0.25">
      <c r="A37" s="5">
        <v>3</v>
      </c>
      <c r="B37" s="11" t="s">
        <v>111</v>
      </c>
      <c r="C37" s="5"/>
      <c r="D37" s="5"/>
      <c r="E37" s="5"/>
      <c r="F37" s="5" t="s">
        <v>33</v>
      </c>
      <c r="G37" s="5">
        <v>635</v>
      </c>
      <c r="H37" s="5"/>
      <c r="I37" s="5"/>
    </row>
    <row r="38" spans="1:10" x14ac:dyDescent="0.25">
      <c r="A38" s="2">
        <v>4</v>
      </c>
      <c r="B38" s="2" t="s">
        <v>53</v>
      </c>
      <c r="C38" s="2" t="s">
        <v>0</v>
      </c>
      <c r="D38" s="2" t="s">
        <v>0</v>
      </c>
      <c r="E38" s="2" t="s">
        <v>0</v>
      </c>
      <c r="F38" s="2" t="s">
        <v>33</v>
      </c>
      <c r="G38" s="7">
        <v>2530</v>
      </c>
      <c r="H38" s="2" t="s">
        <v>0</v>
      </c>
      <c r="I38" s="2" t="s">
        <v>116</v>
      </c>
    </row>
    <row r="39" spans="1:10" x14ac:dyDescent="0.25">
      <c r="A39" s="2">
        <v>5</v>
      </c>
      <c r="B39" s="2" t="s">
        <v>54</v>
      </c>
      <c r="C39" s="2" t="s">
        <v>0</v>
      </c>
      <c r="D39" s="2" t="s">
        <v>0</v>
      </c>
      <c r="E39" s="2" t="s">
        <v>0</v>
      </c>
      <c r="F39" s="2" t="s">
        <v>33</v>
      </c>
      <c r="G39" s="7">
        <v>4000</v>
      </c>
      <c r="H39" s="2" t="s">
        <v>0</v>
      </c>
      <c r="I39" s="2" t="s">
        <v>115</v>
      </c>
    </row>
    <row r="40" spans="1:10" x14ac:dyDescent="0.25">
      <c r="A40" s="2">
        <v>6</v>
      </c>
      <c r="B40" s="2" t="s">
        <v>55</v>
      </c>
      <c r="C40" s="2" t="s">
        <v>0</v>
      </c>
      <c r="D40" s="2" t="s">
        <v>0</v>
      </c>
      <c r="E40" s="2" t="s">
        <v>0</v>
      </c>
      <c r="F40" s="2" t="s">
        <v>10</v>
      </c>
      <c r="G40" s="7">
        <v>30</v>
      </c>
      <c r="H40" s="2" t="s">
        <v>0</v>
      </c>
      <c r="I40" s="2" t="s">
        <v>114</v>
      </c>
    </row>
    <row r="41" spans="1:10" ht="15.75" thickBot="1" x14ac:dyDescent="0.3">
      <c r="A41" s="12" t="s">
        <v>0</v>
      </c>
      <c r="B41" s="13" t="s">
        <v>56</v>
      </c>
      <c r="C41" s="12" t="s">
        <v>0</v>
      </c>
      <c r="D41" s="12" t="s">
        <v>0</v>
      </c>
      <c r="E41" s="12" t="s">
        <v>0</v>
      </c>
      <c r="F41" s="12" t="s">
        <v>0</v>
      </c>
      <c r="G41" s="12" t="s">
        <v>0</v>
      </c>
      <c r="H41" s="12" t="s">
        <v>0</v>
      </c>
      <c r="I41" s="12" t="s">
        <v>0</v>
      </c>
    </row>
    <row r="42" spans="1:10" ht="39" customHeight="1" x14ac:dyDescent="0.25">
      <c r="A42" s="16">
        <v>1</v>
      </c>
      <c r="B42" s="17" t="s">
        <v>85</v>
      </c>
      <c r="C42" s="17" t="s">
        <v>0</v>
      </c>
      <c r="D42" s="17" t="s">
        <v>0</v>
      </c>
      <c r="E42" s="17" t="s">
        <v>0</v>
      </c>
      <c r="F42" s="17" t="s">
        <v>33</v>
      </c>
      <c r="G42" s="17">
        <f>80+20</f>
        <v>100</v>
      </c>
      <c r="H42" s="17" t="s">
        <v>0</v>
      </c>
      <c r="I42" s="17" t="s">
        <v>0</v>
      </c>
      <c r="J42" s="18" t="s">
        <v>141</v>
      </c>
    </row>
    <row r="43" spans="1:10" x14ac:dyDescent="0.25">
      <c r="A43" s="19">
        <v>2</v>
      </c>
      <c r="B43" s="5" t="s">
        <v>57</v>
      </c>
      <c r="C43" s="5">
        <v>86243</v>
      </c>
      <c r="D43" s="5" t="s">
        <v>0</v>
      </c>
      <c r="E43" s="5" t="s">
        <v>0</v>
      </c>
      <c r="F43" s="5" t="s">
        <v>10</v>
      </c>
      <c r="G43" s="5">
        <v>2</v>
      </c>
      <c r="H43" s="5" t="s">
        <v>0</v>
      </c>
      <c r="I43" s="5" t="s">
        <v>0</v>
      </c>
      <c r="J43" s="20"/>
    </row>
    <row r="44" spans="1:10" x14ac:dyDescent="0.25">
      <c r="A44" s="19">
        <v>3</v>
      </c>
      <c r="B44" s="5" t="s">
        <v>58</v>
      </c>
      <c r="C44" s="5" t="s">
        <v>59</v>
      </c>
      <c r="D44" s="5" t="s">
        <v>0</v>
      </c>
      <c r="E44" s="5" t="s">
        <v>0</v>
      </c>
      <c r="F44" s="5" t="s">
        <v>10</v>
      </c>
      <c r="G44" s="5">
        <v>8</v>
      </c>
      <c r="H44" s="5" t="s">
        <v>0</v>
      </c>
      <c r="I44" s="5" t="s">
        <v>0</v>
      </c>
      <c r="J44" s="20"/>
    </row>
    <row r="45" spans="1:10" ht="30" x14ac:dyDescent="0.25">
      <c r="A45" s="19">
        <v>4</v>
      </c>
      <c r="B45" s="5" t="s">
        <v>60</v>
      </c>
      <c r="C45" s="5">
        <v>7040109</v>
      </c>
      <c r="D45" s="5" t="s">
        <v>0</v>
      </c>
      <c r="E45" s="5" t="s">
        <v>0</v>
      </c>
      <c r="F45" s="5" t="s">
        <v>10</v>
      </c>
      <c r="G45" s="5">
        <v>80</v>
      </c>
      <c r="H45" s="5" t="s">
        <v>0</v>
      </c>
      <c r="I45" s="5" t="s">
        <v>0</v>
      </c>
      <c r="J45" s="20"/>
    </row>
    <row r="46" spans="1:10" x14ac:dyDescent="0.25">
      <c r="A46" s="19">
        <v>5</v>
      </c>
      <c r="B46" s="5" t="s">
        <v>61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62</v>
      </c>
      <c r="H46" s="5" t="s">
        <v>0</v>
      </c>
      <c r="I46" s="5" t="s">
        <v>0</v>
      </c>
      <c r="J46" s="20"/>
    </row>
    <row r="47" spans="1:10" ht="15.75" thickBot="1" x14ac:dyDescent="0.3">
      <c r="A47" s="21">
        <v>6</v>
      </c>
      <c r="B47" s="22" t="s">
        <v>63</v>
      </c>
      <c r="C47" s="22" t="s">
        <v>64</v>
      </c>
      <c r="D47" s="22" t="s">
        <v>0</v>
      </c>
      <c r="E47" s="22" t="s">
        <v>88</v>
      </c>
      <c r="F47" s="22" t="s">
        <v>33</v>
      </c>
      <c r="G47" s="22">
        <v>24</v>
      </c>
      <c r="H47" s="22" t="s">
        <v>0</v>
      </c>
      <c r="I47" s="22" t="s">
        <v>128</v>
      </c>
      <c r="J47" s="23"/>
    </row>
    <row r="48" spans="1:10" ht="30" x14ac:dyDescent="0.25">
      <c r="A48" s="14"/>
      <c r="B48" s="15" t="s">
        <v>130</v>
      </c>
      <c r="C48" s="14"/>
      <c r="D48" s="14"/>
      <c r="E48" s="14"/>
      <c r="F48" s="14"/>
      <c r="G48" s="14"/>
      <c r="H48" s="14"/>
      <c r="I48" s="14"/>
    </row>
    <row r="49" spans="1:9" ht="45" x14ac:dyDescent="0.25">
      <c r="A49" s="5">
        <v>1</v>
      </c>
      <c r="B49" s="5" t="s">
        <v>137</v>
      </c>
      <c r="C49" s="5" t="s">
        <v>140</v>
      </c>
      <c r="D49" s="5" t="s">
        <v>139</v>
      </c>
      <c r="E49" s="5" t="s">
        <v>138</v>
      </c>
      <c r="F49" s="5" t="s">
        <v>33</v>
      </c>
      <c r="G49" s="5">
        <f>5*4+0.6*2*4</f>
        <v>24.8</v>
      </c>
      <c r="H49" s="5" t="s">
        <v>0</v>
      </c>
      <c r="I49" s="5" t="s">
        <v>129</v>
      </c>
    </row>
    <row r="50" spans="1:9" ht="30" x14ac:dyDescent="0.25">
      <c r="A50" s="5">
        <v>2</v>
      </c>
      <c r="B50" s="5" t="s">
        <v>65</v>
      </c>
      <c r="C50" s="5" t="s">
        <v>0</v>
      </c>
      <c r="D50" s="5" t="s">
        <v>66</v>
      </c>
      <c r="E50" s="5" t="s">
        <v>0</v>
      </c>
      <c r="F50" s="5" t="s">
        <v>10</v>
      </c>
      <c r="G50" s="5">
        <v>8</v>
      </c>
      <c r="H50" s="5" t="s">
        <v>0</v>
      </c>
      <c r="I50" s="5" t="s">
        <v>67</v>
      </c>
    </row>
    <row r="51" spans="1:9" x14ac:dyDescent="0.25">
      <c r="A51" s="5">
        <v>3</v>
      </c>
      <c r="B51" s="5" t="s">
        <v>68</v>
      </c>
      <c r="C51" s="5" t="s">
        <v>0</v>
      </c>
      <c r="D51" s="5" t="s">
        <v>0</v>
      </c>
      <c r="E51" s="5" t="s">
        <v>0</v>
      </c>
      <c r="F51" s="5" t="s">
        <v>33</v>
      </c>
      <c r="G51" s="5">
        <v>4.4000000000000004</v>
      </c>
      <c r="H51" s="5" t="s">
        <v>0</v>
      </c>
      <c r="I51" s="5" t="s">
        <v>69</v>
      </c>
    </row>
    <row r="52" spans="1:9" ht="45" x14ac:dyDescent="0.25">
      <c r="A52" s="5"/>
      <c r="B52" s="6" t="s">
        <v>127</v>
      </c>
      <c r="C52" s="5"/>
      <c r="D52" s="5"/>
      <c r="E52" s="5"/>
      <c r="F52" s="5"/>
      <c r="G52" s="5"/>
      <c r="H52" s="5"/>
      <c r="I52" s="5"/>
    </row>
    <row r="53" spans="1:9" ht="30" x14ac:dyDescent="0.25">
      <c r="A53" s="5">
        <v>1</v>
      </c>
      <c r="B53" s="5" t="s">
        <v>117</v>
      </c>
      <c r="C53" s="5" t="s">
        <v>0</v>
      </c>
      <c r="D53" s="5" t="s">
        <v>0</v>
      </c>
      <c r="E53" s="5" t="s">
        <v>0</v>
      </c>
      <c r="F53" s="5" t="s">
        <v>45</v>
      </c>
      <c r="G53" s="5">
        <v>48</v>
      </c>
      <c r="H53" s="5" t="s">
        <v>0</v>
      </c>
      <c r="I53" s="5" t="s">
        <v>122</v>
      </c>
    </row>
    <row r="54" spans="1:9" x14ac:dyDescent="0.25">
      <c r="A54" s="5">
        <v>2</v>
      </c>
      <c r="B54" s="5" t="s">
        <v>118</v>
      </c>
      <c r="C54" s="5" t="s">
        <v>0</v>
      </c>
      <c r="D54" s="5" t="s">
        <v>0</v>
      </c>
      <c r="E54" s="5" t="s">
        <v>0</v>
      </c>
      <c r="F54" s="5" t="s">
        <v>10</v>
      </c>
      <c r="G54" s="5">
        <v>64</v>
      </c>
      <c r="H54" s="5" t="s">
        <v>0</v>
      </c>
      <c r="I54" s="5" t="s">
        <v>123</v>
      </c>
    </row>
    <row r="55" spans="1:9" x14ac:dyDescent="0.25">
      <c r="A55" s="5">
        <v>3</v>
      </c>
      <c r="B55" s="5" t="s">
        <v>119</v>
      </c>
      <c r="C55" s="5" t="s">
        <v>0</v>
      </c>
      <c r="D55" s="5" t="s">
        <v>0</v>
      </c>
      <c r="E55" s="5" t="s">
        <v>0</v>
      </c>
      <c r="F55" s="5" t="s">
        <v>45</v>
      </c>
      <c r="G55" s="5">
        <v>160</v>
      </c>
      <c r="H55" s="5" t="s">
        <v>0</v>
      </c>
      <c r="I55" s="5" t="s">
        <v>124</v>
      </c>
    </row>
    <row r="56" spans="1:9" x14ac:dyDescent="0.25">
      <c r="A56" s="5">
        <v>4</v>
      </c>
      <c r="B56" s="5" t="s">
        <v>120</v>
      </c>
      <c r="C56" s="5" t="s">
        <v>0</v>
      </c>
      <c r="D56" s="5" t="s">
        <v>0</v>
      </c>
      <c r="E56" s="5" t="s">
        <v>0</v>
      </c>
      <c r="F56" s="5" t="s">
        <v>45</v>
      </c>
      <c r="G56" s="5">
        <v>2</v>
      </c>
      <c r="H56" s="5" t="s">
        <v>0</v>
      </c>
      <c r="I56" s="5" t="s">
        <v>125</v>
      </c>
    </row>
    <row r="57" spans="1:9" ht="30" x14ac:dyDescent="0.25">
      <c r="A57" s="5">
        <v>5</v>
      </c>
      <c r="B57" s="5" t="s">
        <v>121</v>
      </c>
      <c r="C57" s="5" t="s">
        <v>0</v>
      </c>
      <c r="D57" s="5" t="s">
        <v>0</v>
      </c>
      <c r="E57" s="5" t="s">
        <v>0</v>
      </c>
      <c r="F57" s="5" t="s">
        <v>45</v>
      </c>
      <c r="G57" s="5">
        <v>10</v>
      </c>
      <c r="H57" s="5" t="s">
        <v>0</v>
      </c>
      <c r="I57" s="5" t="s">
        <v>126</v>
      </c>
    </row>
  </sheetData>
  <mergeCells count="1">
    <mergeCell ref="J42:J47"/>
  </mergeCells>
  <pageMargins left="0.7" right="0.7" top="0.75" bottom="0.75" header="0.3" footer="0.3"/>
  <pageSetup paperSize="8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Бредихин Артём Александрович</dc:creator>
  <cp:lastModifiedBy>MSI</cp:lastModifiedBy>
  <cp:lastPrinted>2026-04-16T13:06:25Z</cp:lastPrinted>
  <dcterms:created xsi:type="dcterms:W3CDTF">2026-04-16T11:13:12Z</dcterms:created>
  <dcterms:modified xsi:type="dcterms:W3CDTF">2026-05-08T10:01:14Z</dcterms:modified>
</cp:coreProperties>
</file>